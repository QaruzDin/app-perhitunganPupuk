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F:\Q-Storage\"/>
    </mc:Choice>
  </mc:AlternateContent>
  <xr:revisionPtr revIDLastSave="0" documentId="13_ncr:1_{96F17A1C-B0DB-4574-B642-5CF065AABA44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Home" sheetId="9" r:id="rId1"/>
    <sheet name="Database Tanaman" sheetId="10" r:id="rId2"/>
    <sheet name="Database Pupuk" sheetId="8" r:id="rId3"/>
    <sheet name="Perhitungan Pupuk-Bioch Fix" sheetId="4" r:id="rId4"/>
    <sheet name="Perhitungan Pupuk" sheetId="11" r:id="rId5"/>
    <sheet name="Perhitungan Pestisida" sheetId="2" r:id="rId6"/>
    <sheet name="Perhitungan Pupuk-Bioch" sheetId="3" r:id="rId7"/>
    <sheet name="Kebutuhan bioch" sheetId="5" r:id="rId8"/>
    <sheet name="Anggaran" sheetId="6" r:id="rId9"/>
    <sheet name="Perhitungan Rhizobium" sheetId="7" r:id="rId10"/>
  </sheets>
  <definedNames>
    <definedName name="NamaPupuk" localSheetId="4">tabelPupuk[Nama Pasar]</definedName>
    <definedName name="NamaPupuk">tabelPupuk[Nama Pasar]</definedName>
    <definedName name="NamaTanaman" localSheetId="4">tabelTanaman[Nama Tanaman]</definedName>
    <definedName name="NamaTanaman">tabelTanaman[Nama Tanaman]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" roundtripDataSignature="AMtx7mho6I4ad2KJdlsJwcHup8Rad57bHw=="/>
    </ext>
  </extLst>
</workbook>
</file>

<file path=xl/calcChain.xml><?xml version="1.0" encoding="utf-8"?>
<calcChain xmlns="http://schemas.openxmlformats.org/spreadsheetml/2006/main">
  <c r="B16" i="4" l="1"/>
  <c r="F22" i="4"/>
  <c r="G22" i="4"/>
  <c r="G15" i="9" l="1"/>
  <c r="K16" i="9" s="1"/>
  <c r="I14" i="9"/>
  <c r="D18" i="9"/>
  <c r="G18" i="9" s="1"/>
  <c r="D17" i="9"/>
  <c r="D16" i="9"/>
  <c r="D15" i="9" l="1"/>
  <c r="E17" i="9"/>
  <c r="E16" i="9"/>
  <c r="E15" i="9"/>
  <c r="E18" i="9"/>
  <c r="B6" i="11"/>
  <c r="K9" i="9" l="1"/>
  <c r="I17" i="9" s="1"/>
  <c r="D4" i="11"/>
  <c r="I16" i="9" l="1"/>
  <c r="I15" i="9"/>
  <c r="I18" i="9"/>
  <c r="M17" i="9" s="1"/>
  <c r="D28" i="11"/>
  <c r="I11" i="11"/>
  <c r="I10" i="11"/>
  <c r="I9" i="11"/>
  <c r="M3" i="11"/>
  <c r="D2" i="11"/>
  <c r="B3" i="11" s="1"/>
  <c r="D3" i="11" s="1"/>
  <c r="B18" i="9"/>
  <c r="K17" i="9" l="1"/>
  <c r="B19" i="11"/>
  <c r="D19" i="11" s="1"/>
  <c r="G19" i="11" s="1"/>
  <c r="I19" i="11" s="1"/>
  <c r="B18" i="11"/>
  <c r="D18" i="11" s="1"/>
  <c r="B17" i="11"/>
  <c r="D17" i="11" s="1"/>
  <c r="B16" i="11"/>
  <c r="D16" i="11" s="1"/>
  <c r="B29" i="11"/>
  <c r="D29" i="11" s="1"/>
  <c r="G29" i="11" s="1"/>
  <c r="I29" i="11" s="1"/>
  <c r="B25" i="11"/>
  <c r="D25" i="11" s="1"/>
  <c r="G25" i="11" s="1"/>
  <c r="I25" i="11" s="1"/>
  <c r="B24" i="11"/>
  <c r="D24" i="11" s="1"/>
  <c r="B23" i="11"/>
  <c r="D23" i="11" s="1"/>
  <c r="B22" i="11"/>
  <c r="D22" i="11" s="1"/>
  <c r="I3" i="11"/>
  <c r="K3" i="11" s="1"/>
  <c r="M11" i="11"/>
  <c r="O11" i="11" s="1"/>
  <c r="M10" i="11"/>
  <c r="O10" i="11" s="1"/>
  <c r="B7" i="9"/>
  <c r="E5" i="9"/>
  <c r="E6" i="9"/>
  <c r="E7" i="9"/>
  <c r="E8" i="9"/>
  <c r="E9" i="9"/>
  <c r="E10" i="9"/>
  <c r="E4" i="9"/>
  <c r="O14" i="11" l="1"/>
  <c r="Q10" i="11"/>
  <c r="F23" i="11"/>
  <c r="G23" i="11"/>
  <c r="F16" i="11"/>
  <c r="G16" i="11"/>
  <c r="F18" i="11"/>
  <c r="G18" i="11"/>
  <c r="O15" i="11"/>
  <c r="Q11" i="11"/>
  <c r="F22" i="11"/>
  <c r="G22" i="11"/>
  <c r="F24" i="11"/>
  <c r="G24" i="11"/>
  <c r="F17" i="11"/>
  <c r="G17" i="11"/>
  <c r="B5" i="2"/>
  <c r="L22" i="7" l="1"/>
  <c r="D22" i="7"/>
  <c r="L19" i="7"/>
  <c r="L18" i="7"/>
  <c r="J17" i="7"/>
  <c r="L17" i="7" s="1"/>
  <c r="N23" i="7" s="1"/>
  <c r="N26" i="7" s="1"/>
  <c r="N27" i="7" s="1"/>
  <c r="D17" i="7"/>
  <c r="F23" i="7" s="1"/>
  <c r="F26" i="7" s="1"/>
  <c r="F27" i="7" s="1"/>
  <c r="G5" i="7"/>
  <c r="H4" i="7"/>
  <c r="G4" i="7"/>
  <c r="G13" i="6"/>
  <c r="J12" i="6"/>
  <c r="K11" i="6"/>
  <c r="G11" i="6"/>
  <c r="K10" i="6"/>
  <c r="G10" i="6"/>
  <c r="K9" i="6"/>
  <c r="G9" i="6"/>
  <c r="K8" i="6"/>
  <c r="G8" i="6"/>
  <c r="K7" i="6"/>
  <c r="K12" i="6" s="1"/>
  <c r="G12" i="6" s="1"/>
  <c r="G7" i="6"/>
  <c r="C5" i="5"/>
  <c r="D28" i="4"/>
  <c r="I11" i="4"/>
  <c r="I10" i="4"/>
  <c r="I9" i="4"/>
  <c r="D4" i="4"/>
  <c r="B6" i="4" s="1"/>
  <c r="M11" i="4" s="1"/>
  <c r="M3" i="4"/>
  <c r="D2" i="4"/>
  <c r="B3" i="4" s="1"/>
  <c r="D3" i="4" s="1"/>
  <c r="D23" i="3"/>
  <c r="H7" i="3"/>
  <c r="N6" i="3"/>
  <c r="H8" i="3" s="1"/>
  <c r="D4" i="3"/>
  <c r="B6" i="3" s="1"/>
  <c r="B3" i="3"/>
  <c r="D3" i="3" s="1"/>
  <c r="H2" i="3"/>
  <c r="J2" i="3" s="1"/>
  <c r="H4" i="3" s="1"/>
  <c r="K4" i="3" s="1"/>
  <c r="M10" i="4" l="1"/>
  <c r="O10" i="4" s="1"/>
  <c r="I4" i="7"/>
  <c r="D23" i="7"/>
  <c r="D26" i="7" s="1"/>
  <c r="D27" i="7" s="1"/>
  <c r="B21" i="3"/>
  <c r="D21" i="3" s="1"/>
  <c r="B19" i="3"/>
  <c r="D19" i="3" s="1"/>
  <c r="B20" i="3"/>
  <c r="D20" i="3" s="1"/>
  <c r="B25" i="4"/>
  <c r="D25" i="4" s="1"/>
  <c r="G25" i="4" s="1"/>
  <c r="I25" i="4" s="1"/>
  <c r="B24" i="4"/>
  <c r="D24" i="4" s="1"/>
  <c r="B23" i="4"/>
  <c r="D23" i="4" s="1"/>
  <c r="B22" i="4"/>
  <c r="D22" i="4" s="1"/>
  <c r="I3" i="4"/>
  <c r="K3" i="4" s="1"/>
  <c r="O11" i="4"/>
  <c r="B6" i="2"/>
  <c r="B15" i="3"/>
  <c r="D15" i="3" s="1"/>
  <c r="B24" i="3"/>
  <c r="D24" i="3" s="1"/>
  <c r="C3" i="5" s="1"/>
  <c r="B16" i="3"/>
  <c r="D16" i="3" s="1"/>
  <c r="B14" i="3"/>
  <c r="D14" i="3" s="1"/>
  <c r="B29" i="4"/>
  <c r="D29" i="4" s="1"/>
  <c r="G29" i="4" s="1"/>
  <c r="I29" i="4" s="1"/>
  <c r="B19" i="4"/>
  <c r="D19" i="4" s="1"/>
  <c r="G19" i="4" s="1"/>
  <c r="I19" i="4" s="1"/>
  <c r="B18" i="4"/>
  <c r="D18" i="4" s="1"/>
  <c r="B17" i="4"/>
  <c r="D17" i="4" s="1"/>
  <c r="D16" i="4"/>
  <c r="G14" i="6"/>
  <c r="L23" i="7"/>
  <c r="L26" i="7" s="1"/>
  <c r="L27" i="7" s="1"/>
  <c r="H10" i="3"/>
  <c r="H11" i="3" s="1"/>
  <c r="J11" i="3" s="1"/>
  <c r="G17" i="4" l="1"/>
  <c r="F17" i="4"/>
  <c r="Q10" i="4"/>
  <c r="O14" i="4"/>
  <c r="G23" i="4"/>
  <c r="F23" i="4"/>
  <c r="G18" i="4"/>
  <c r="F18" i="4"/>
  <c r="G16" i="4"/>
  <c r="F16" i="4"/>
  <c r="C8" i="5"/>
  <c r="C12" i="5" s="1"/>
  <c r="E12" i="5" s="1"/>
  <c r="C7" i="5"/>
  <c r="C11" i="5" s="1"/>
  <c r="E11" i="5" s="1"/>
  <c r="C6" i="5"/>
  <c r="C10" i="5" s="1"/>
  <c r="E10" i="5" s="1"/>
  <c r="Q11" i="4"/>
  <c r="O15" i="4"/>
  <c r="G24" i="4"/>
  <c r="F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</author>
  </authors>
  <commentList>
    <comment ref="B3" authorId="0" shapeId="0" xr:uid="{9430F5B6-64A7-4F11-B1F5-456292E30C23}">
      <text>
        <r>
          <rPr>
            <b/>
            <sz val="9"/>
            <color indexed="81"/>
            <rFont val="Tahoma"/>
            <family val="2"/>
          </rPr>
          <t>Pilih Nama Pupuk</t>
        </r>
      </text>
    </comment>
    <comment ref="L3" authorId="0" shapeId="0" xr:uid="{7BCFED3B-08AC-4822-B84C-3380D8FB8E5A}">
      <text>
        <r>
          <rPr>
            <b/>
            <sz val="9"/>
            <color indexed="81"/>
            <rFont val="Tahoma"/>
            <family val="2"/>
          </rPr>
          <t>Masukkan Jarak Tanam</t>
        </r>
      </text>
    </comment>
    <comment ref="K6" authorId="0" shapeId="0" xr:uid="{D1062C47-D3D6-4972-B95C-2501478DDB51}">
      <text>
        <r>
          <rPr>
            <b/>
            <sz val="9"/>
            <color indexed="81"/>
            <rFont val="Tahoma"/>
            <family val="2"/>
          </rPr>
          <t>Masukkan Jumlah Tanaman</t>
        </r>
      </text>
    </comment>
    <comment ref="B14" authorId="0" shapeId="0" xr:uid="{59C90AEE-B4F0-476A-8DC1-C2C7F1ECBDD6}">
      <text>
        <r>
          <rPr>
            <b/>
            <sz val="9"/>
            <color indexed="81"/>
            <rFont val="Tahoma"/>
            <family val="2"/>
          </rPr>
          <t>Pilih Tanaman</t>
        </r>
      </text>
    </comment>
  </commentList>
</comments>
</file>

<file path=xl/sharedStrings.xml><?xml version="1.0" encoding="utf-8"?>
<sst xmlns="http://schemas.openxmlformats.org/spreadsheetml/2006/main" count="477" uniqueCount="181">
  <si>
    <t>Furadan 3G (Carbofuran 3%)</t>
  </si>
  <si>
    <t>dosis</t>
  </si>
  <si>
    <t>kg/ha</t>
  </si>
  <si>
    <t>dosis aplikasi</t>
  </si>
  <si>
    <t>kg/tanaman</t>
  </si>
  <si>
    <t>g/tanaman</t>
  </si>
  <si>
    <t>Berat Tanah</t>
  </si>
  <si>
    <t>kg</t>
  </si>
  <si>
    <t>Penentuan pot percobaan</t>
  </si>
  <si>
    <t>Kedalaman Tanah</t>
  </si>
  <si>
    <t>m</t>
  </si>
  <si>
    <t>Tanah/pot</t>
  </si>
  <si>
    <t>g</t>
  </si>
  <si>
    <t>Berat tanah 1 ha</t>
  </si>
  <si>
    <t>m3</t>
  </si>
  <si>
    <t>KaLapang</t>
  </si>
  <si>
    <t>%</t>
  </si>
  <si>
    <t>Jarak tanam</t>
  </si>
  <si>
    <t>cm</t>
  </si>
  <si>
    <t>m2</t>
  </si>
  <si>
    <t>Jumlah air yg diberikan</t>
  </si>
  <si>
    <t>Jml vol air+tanah</t>
  </si>
  <si>
    <t>Jml permukaan pot - tanah</t>
  </si>
  <si>
    <t>populasi tanaman per ha</t>
  </si>
  <si>
    <t>tanaman</t>
  </si>
  <si>
    <t>tinggi pot</t>
  </si>
  <si>
    <t>diameter</t>
  </si>
  <si>
    <t>radius</t>
  </si>
  <si>
    <t>tinggi pot - jarak bts tanah</t>
  </si>
  <si>
    <t>Dosis per ha</t>
  </si>
  <si>
    <t>Luas perm pot atas</t>
  </si>
  <si>
    <t>cm2</t>
  </si>
  <si>
    <t>Urea</t>
  </si>
  <si>
    <t>kg urea/ha</t>
  </si>
  <si>
    <t>atas : bawah = 10 : 7,7</t>
  </si>
  <si>
    <t>SP-36</t>
  </si>
  <si>
    <t>kg SP-36/ha</t>
  </si>
  <si>
    <t>Luas perm pot bawah</t>
  </si>
  <si>
    <t>KCl</t>
  </si>
  <si>
    <t>kg KCl/ha</t>
  </si>
  <si>
    <t>Volume pot</t>
  </si>
  <si>
    <t>cm3</t>
  </si>
  <si>
    <t>Dosis per pot (berat tanah)</t>
  </si>
  <si>
    <t>kg urea/pot</t>
  </si>
  <si>
    <t>g/pot</t>
  </si>
  <si>
    <t>kg SP-36/pot</t>
  </si>
  <si>
    <t>kg KCl/pot</t>
  </si>
  <si>
    <t>Dosis per pot (jarak tanam)</t>
  </si>
  <si>
    <t>Dosis Biochar (berat tanah)</t>
  </si>
  <si>
    <t>ton/ha</t>
  </si>
  <si>
    <t>Dosis Biochar per pot</t>
  </si>
  <si>
    <t>dosis fungisida</t>
  </si>
  <si>
    <t>l</t>
  </si>
  <si>
    <t>N</t>
  </si>
  <si>
    <t>kg N/ha</t>
  </si>
  <si>
    <t>P2O5</t>
  </si>
  <si>
    <t>kg P2O5/ha</t>
  </si>
  <si>
    <t>K2O</t>
  </si>
  <si>
    <t>kg K2O/ha</t>
  </si>
  <si>
    <t>Pukan Sapi (pupuk dasar)</t>
  </si>
  <si>
    <t>total dg</t>
  </si>
  <si>
    <t>unit coba</t>
  </si>
  <si>
    <t>note: untuk pupuk lanjutan (urea sp-36, dan kcl) dibagi 2 karena 2 tahap pemupukan</t>
  </si>
  <si>
    <t>kg/pot</t>
  </si>
  <si>
    <t>Penentuan Penyediaan Biochar</t>
  </si>
  <si>
    <t>Aplikasi Biochar dlm Pot</t>
  </si>
  <si>
    <t>persentase pembakaran</t>
  </si>
  <si>
    <t>Jumlah unit percobaan</t>
  </si>
  <si>
    <t>ulangan</t>
  </si>
  <si>
    <t>unit percobaan</t>
  </si>
  <si>
    <t>Biochar</t>
  </si>
  <si>
    <t>Sekam padi</t>
  </si>
  <si>
    <t>Tempurung Kelapa</t>
  </si>
  <si>
    <t>Tongkol Jagung</t>
  </si>
  <si>
    <t>Bahan Mentah</t>
  </si>
  <si>
    <t>Jml</t>
  </si>
  <si>
    <t>unit</t>
  </si>
  <si>
    <t>jnis bioch</t>
  </si>
  <si>
    <t>macam</t>
  </si>
  <si>
    <t>No</t>
  </si>
  <si>
    <t>Jenis Pengeluaran</t>
  </si>
  <si>
    <t>Jumlah</t>
  </si>
  <si>
    <t>Biaya (Rp)</t>
  </si>
  <si>
    <t>Pengadaan analisis</t>
  </si>
  <si>
    <t>takaran</t>
  </si>
  <si>
    <t>satuan</t>
  </si>
  <si>
    <t>harga satuan</t>
  </si>
  <si>
    <t>jenis analisis</t>
  </si>
  <si>
    <t>Benih kacang tanah var. Takar 2</t>
  </si>
  <si>
    <t>pack</t>
  </si>
  <si>
    <t>N-total</t>
  </si>
  <si>
    <t>Pengadaan bahan baku biochar : Tempurung kelapa sawit</t>
  </si>
  <si>
    <t>karung (20kg)</t>
  </si>
  <si>
    <t>Fosfat</t>
  </si>
  <si>
    <t>karung (10kg)</t>
  </si>
  <si>
    <t>C-organik</t>
  </si>
  <si>
    <t>Pot (polybag) 40 x 45</t>
  </si>
  <si>
    <t>bendel</t>
  </si>
  <si>
    <t>pH</t>
  </si>
  <si>
    <t>Akomodasi transportasi sampel tanah</t>
  </si>
  <si>
    <t>kali</t>
  </si>
  <si>
    <t>porositas</t>
  </si>
  <si>
    <t>Pengadaan bahan untuk analisis</t>
  </si>
  <si>
    <t>Print kertas A4</t>
  </si>
  <si>
    <t>lembar</t>
  </si>
  <si>
    <t>Total</t>
  </si>
  <si>
    <t>Syarat 30-300</t>
  </si>
  <si>
    <t>Media</t>
  </si>
  <si>
    <t>Pengenceran</t>
  </si>
  <si>
    <t>CFU's/ml</t>
  </si>
  <si>
    <t>ket</t>
  </si>
  <si>
    <t>10^-2</t>
  </si>
  <si>
    <t>10^-3</t>
  </si>
  <si>
    <t>10^-4</t>
  </si>
  <si>
    <t>10^-5</t>
  </si>
  <si>
    <t>10^-6</t>
  </si>
  <si>
    <t>pH 5,7</t>
  </si>
  <si>
    <t>TBUD</t>
  </si>
  <si>
    <t>8 (TSUD)</t>
  </si>
  <si>
    <t>pH 7</t>
  </si>
  <si>
    <t>Bil terdapat 2 atau lebih cawan memenuhi syarat</t>
  </si>
  <si>
    <t>Ambil terendah</t>
  </si>
  <si>
    <t>Ambil rata"</t>
  </si>
  <si>
    <t>Dosis Rekomendasi</t>
  </si>
  <si>
    <t>Jml Koloni</t>
  </si>
  <si>
    <t>Volume</t>
  </si>
  <si>
    <t>ml</t>
  </si>
  <si>
    <t>jml benih</t>
  </si>
  <si>
    <t>benih</t>
  </si>
  <si>
    <t>Dosis Aplikasi</t>
  </si>
  <si>
    <t>Total Kebutuhan</t>
  </si>
  <si>
    <t>L</t>
  </si>
  <si>
    <t>P</t>
  </si>
  <si>
    <t>K</t>
  </si>
  <si>
    <t>Tunggal</t>
  </si>
  <si>
    <t>Majemuk</t>
  </si>
  <si>
    <t>Gandasil D</t>
  </si>
  <si>
    <r>
      <t>MgSO</t>
    </r>
    <r>
      <rPr>
        <sz val="8"/>
        <color theme="1"/>
        <rFont val="Arial"/>
        <family val="2"/>
      </rPr>
      <t>4</t>
    </r>
  </si>
  <si>
    <t>Gandasil B</t>
  </si>
  <si>
    <t>ZA</t>
  </si>
  <si>
    <t>Jenis Komposisi</t>
  </si>
  <si>
    <t>Jenis Bahan</t>
  </si>
  <si>
    <t>Sintetik</t>
  </si>
  <si>
    <t>TSP</t>
  </si>
  <si>
    <r>
      <t>P</t>
    </r>
    <r>
      <rPr>
        <sz val="8"/>
        <color theme="1"/>
        <rFont val="Arial"/>
        <family val="2"/>
      </rPr>
      <t>2</t>
    </r>
    <r>
      <rPr>
        <sz val="11"/>
        <color theme="1"/>
        <rFont val="Arial"/>
        <family val="2"/>
      </rPr>
      <t>O</t>
    </r>
    <r>
      <rPr>
        <sz val="8"/>
        <color theme="1"/>
        <rFont val="Arial"/>
        <family val="2"/>
      </rPr>
      <t>5</t>
    </r>
  </si>
  <si>
    <r>
      <t>K</t>
    </r>
    <r>
      <rPr>
        <sz val="8"/>
        <color theme="1"/>
        <rFont val="Arial"/>
        <family val="2"/>
      </rPr>
      <t>2</t>
    </r>
    <r>
      <rPr>
        <sz val="11"/>
        <color theme="1"/>
        <rFont val="Arial"/>
        <family val="2"/>
      </rPr>
      <t>O</t>
    </r>
  </si>
  <si>
    <t>KNO3</t>
  </si>
  <si>
    <t>NPK Phonska</t>
  </si>
  <si>
    <t>S</t>
  </si>
  <si>
    <t>NPK Mutiara</t>
  </si>
  <si>
    <t>MgO</t>
  </si>
  <si>
    <t>CaO</t>
  </si>
  <si>
    <t>Cari Jenis Pupuk</t>
  </si>
  <si>
    <t>INFORMASI KANDUNGAN</t>
  </si>
  <si>
    <t>Unsur Hara</t>
  </si>
  <si>
    <t>Efisiensi (%)</t>
  </si>
  <si>
    <t>Nama Tanaman</t>
  </si>
  <si>
    <t>Varietas</t>
  </si>
  <si>
    <t>Type</t>
  </si>
  <si>
    <t>Kacang Tanah</t>
  </si>
  <si>
    <t>Cari Tanaman</t>
  </si>
  <si>
    <t>Jumlah (kg/ha)</t>
  </si>
  <si>
    <t>SPESIFIKASI TANAH</t>
  </si>
  <si>
    <t>Krietria</t>
  </si>
  <si>
    <t>Jarak Tanam</t>
  </si>
  <si>
    <t>Estimasi Populasi per ha</t>
  </si>
  <si>
    <t>Nilai</t>
  </si>
  <si>
    <t>Metode</t>
  </si>
  <si>
    <t>Pupuk Kandang Sapi</t>
  </si>
  <si>
    <t>Organik</t>
  </si>
  <si>
    <t>JP N</t>
  </si>
  <si>
    <t>JP P</t>
  </si>
  <si>
    <t>JP K</t>
  </si>
  <si>
    <t>JP Organik</t>
  </si>
  <si>
    <t>Jenis Pupuk</t>
  </si>
  <si>
    <t>Satuan</t>
  </si>
  <si>
    <t>INFORMASI DOSIS PUPUK</t>
  </si>
  <si>
    <t>RINCIAN DOSIS APLIKASI</t>
  </si>
  <si>
    <t>Dosis yang diberikan</t>
  </si>
  <si>
    <t>Jumlah Tanaman</t>
  </si>
  <si>
    <t>Nama Pasar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</si>
</sst>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_);_(* \(#,##0\);_(* &quot;-&quot;_);_(@_)"/>
    <numFmt numFmtId="165" formatCode="0_ "/>
    <numFmt numFmtId="166" formatCode="0.00_ "/>
    <numFmt numFmtId="167" formatCode="0.000"/>
    <numFmt numFmtId="168" formatCode="_-* #,##0_-;\-* #,##0_-;_-* &quot;-&quot;??_-;_-@_-"/>
    <numFmt numFmtId="169" formatCode="_(* #,##0.00000_);_(* \(#,##0.00000\);_(* &quot;-&quot;_);_(@_)"/>
  </numFmts>
  <fonts count="16" x14ac:knownFonts="1">
    <font>
      <sz val="11"/>
      <color theme="1"/>
      <name val="Arial"/>
    </font>
    <font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8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/>
    <xf numFmtId="165" fontId="3" fillId="0" borderId="0" xfId="0" applyNumberFormat="1" applyFont="1"/>
    <xf numFmtId="3" fontId="3" fillId="0" borderId="0" xfId="0" applyNumberFormat="1" applyFont="1"/>
    <xf numFmtId="0" fontId="3" fillId="0" borderId="0" xfId="0" applyFont="1" applyAlignment="1">
      <alignment wrapText="1"/>
    </xf>
    <xf numFmtId="164" fontId="3" fillId="0" borderId="0" xfId="0" applyNumberFormat="1" applyFont="1"/>
    <xf numFmtId="1" fontId="3" fillId="0" borderId="0" xfId="0" applyNumberFormat="1" applyFont="1"/>
    <xf numFmtId="0" fontId="4" fillId="0" borderId="1" xfId="0" applyFont="1" applyBorder="1"/>
    <xf numFmtId="0" fontId="5" fillId="0" borderId="1" xfId="0" applyFont="1" applyBorder="1"/>
    <xf numFmtId="0" fontId="4" fillId="0" borderId="0" xfId="0" applyFont="1"/>
    <xf numFmtId="0" fontId="3" fillId="0" borderId="2" xfId="0" applyFont="1" applyBorder="1"/>
    <xf numFmtId="0" fontId="4" fillId="0" borderId="2" xfId="0" applyFont="1" applyBorder="1"/>
    <xf numFmtId="0" fontId="5" fillId="0" borderId="2" xfId="0" applyFont="1" applyBorder="1"/>
    <xf numFmtId="0" fontId="5" fillId="0" borderId="0" xfId="0" applyFont="1"/>
    <xf numFmtId="0" fontId="6" fillId="0" borderId="2" xfId="0" applyFont="1" applyBorder="1"/>
    <xf numFmtId="0" fontId="6" fillId="0" borderId="0" xfId="0" applyFont="1"/>
    <xf numFmtId="0" fontId="4" fillId="0" borderId="3" xfId="0" applyFont="1" applyBorder="1"/>
    <xf numFmtId="0" fontId="3" fillId="0" borderId="3" xfId="0" applyFont="1" applyBorder="1"/>
    <xf numFmtId="166" fontId="3" fillId="0" borderId="0" xfId="0" applyNumberFormat="1" applyFont="1"/>
    <xf numFmtId="0" fontId="3" fillId="0" borderId="0" xfId="0" applyFont="1" applyAlignment="1">
      <alignment horizontal="center" vertical="center"/>
    </xf>
    <xf numFmtId="3" fontId="4" fillId="0" borderId="0" xfId="0" applyNumberFormat="1" applyFont="1"/>
    <xf numFmtId="0" fontId="3" fillId="0" borderId="0" xfId="0" applyFont="1" applyAlignment="1">
      <alignment vertical="center"/>
    </xf>
    <xf numFmtId="0" fontId="3" fillId="0" borderId="6" xfId="0" applyFont="1" applyBorder="1" applyAlignment="1">
      <alignment horizontal="center"/>
    </xf>
    <xf numFmtId="0" fontId="3" fillId="0" borderId="6" xfId="0" applyFont="1" applyBorder="1"/>
    <xf numFmtId="0" fontId="5" fillId="0" borderId="6" xfId="0" applyFont="1" applyBorder="1"/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7" fillId="0" borderId="0" xfId="0" applyFont="1" applyAlignment="1"/>
    <xf numFmtId="0" fontId="7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0" fillId="2" borderId="0" xfId="0" applyFont="1" applyFill="1" applyAlignment="1"/>
    <xf numFmtId="0" fontId="7" fillId="0" borderId="8" xfId="0" applyFont="1" applyBorder="1" applyAlignment="1"/>
    <xf numFmtId="0" fontId="0" fillId="0" borderId="8" xfId="0" applyFont="1" applyBorder="1" applyAlignment="1"/>
    <xf numFmtId="0" fontId="8" fillId="2" borderId="8" xfId="0" applyFont="1" applyFill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10" fillId="2" borderId="7" xfId="0" applyFont="1" applyFill="1" applyBorder="1" applyAlignment="1">
      <alignment horizontal="center"/>
    </xf>
    <xf numFmtId="0" fontId="7" fillId="0" borderId="12" xfId="0" applyFont="1" applyBorder="1" applyAlignment="1"/>
    <xf numFmtId="0" fontId="8" fillId="2" borderId="11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168" fontId="0" fillId="3" borderId="8" xfId="1" applyNumberFormat="1" applyFont="1" applyFill="1" applyBorder="1" applyAlignment="1"/>
    <xf numFmtId="0" fontId="0" fillId="3" borderId="8" xfId="0" applyFont="1" applyFill="1" applyBorder="1" applyAlignment="1"/>
    <xf numFmtId="0" fontId="0" fillId="3" borderId="8" xfId="0" applyNumberFormat="1" applyFont="1" applyFill="1" applyBorder="1" applyAlignment="1"/>
    <xf numFmtId="0" fontId="7" fillId="0" borderId="9" xfId="0" applyFont="1" applyBorder="1" applyAlignment="1" applyProtection="1">
      <protection locked="0"/>
    </xf>
    <xf numFmtId="0" fontId="0" fillId="0" borderId="9" xfId="0" applyFont="1" applyBorder="1" applyAlignment="1" applyProtection="1">
      <protection locked="0"/>
    </xf>
    <xf numFmtId="0" fontId="0" fillId="0" borderId="8" xfId="0" applyFont="1" applyBorder="1" applyAlignment="1" applyProtection="1">
      <protection locked="0"/>
    </xf>
    <xf numFmtId="0" fontId="0" fillId="0" borderId="11" xfId="0" applyFont="1" applyBorder="1" applyAlignment="1" applyProtection="1">
      <protection locked="0"/>
    </xf>
    <xf numFmtId="0" fontId="0" fillId="0" borderId="8" xfId="0" applyFont="1" applyBorder="1" applyAlignment="1" applyProtection="1">
      <alignment horizontal="center"/>
      <protection locked="0"/>
    </xf>
    <xf numFmtId="169" fontId="1" fillId="0" borderId="0" xfId="0" applyNumberFormat="1" applyFont="1"/>
    <xf numFmtId="0" fontId="10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3" fontId="0" fillId="3" borderId="11" xfId="0" applyNumberFormat="1" applyFont="1" applyFill="1" applyBorder="1" applyAlignment="1">
      <alignment horizontal="right"/>
    </xf>
    <xf numFmtId="3" fontId="0" fillId="3" borderId="13" xfId="0" applyNumberFormat="1" applyFont="1" applyFill="1" applyBorder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13" fillId="0" borderId="8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2" fillId="3" borderId="8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3" fillId="0" borderId="0" xfId="0" applyFont="1" applyAlignment="1">
      <alignment horizontal="left" vertical="top" wrapText="1"/>
    </xf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6" xfId="0" applyFont="1" applyBorder="1"/>
    <xf numFmtId="0" fontId="3" fillId="0" borderId="5" xfId="0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</cellXfs>
  <cellStyles count="2">
    <cellStyle name="Comma" xfId="1" builtinId="3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2</xdr:row>
          <xdr:rowOff>47625</xdr:rowOff>
        </xdr:from>
        <xdr:to>
          <xdr:col>12</xdr:col>
          <xdr:colOff>51300</xdr:colOff>
          <xdr:row>4</xdr:row>
          <xdr:rowOff>26625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Tambah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123824</xdr:colOff>
          <xdr:row>2</xdr:row>
          <xdr:rowOff>47625</xdr:rowOff>
        </xdr:from>
        <xdr:to>
          <xdr:col>13</xdr:col>
          <xdr:colOff>518024</xdr:colOff>
          <xdr:row>4</xdr:row>
          <xdr:rowOff>26625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Hapus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323850</xdr:colOff>
      <xdr:row>8</xdr:row>
      <xdr:rowOff>76200</xdr:rowOff>
    </xdr:from>
    <xdr:ext cx="2000250" cy="4476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4350638" y="3560549"/>
          <a:ext cx="1990725" cy="438903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0</xdr:col>
      <xdr:colOff>323850</xdr:colOff>
      <xdr:row>11</xdr:row>
      <xdr:rowOff>57150</xdr:rowOff>
    </xdr:from>
    <xdr:ext cx="2000250" cy="4476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4350638" y="3560549"/>
          <a:ext cx="1990725" cy="438903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A30041-A612-4B3F-BAA1-9CD7DFE275EA}" name="tabelTanaman" displayName="tabelTanaman" ref="A1:J2" totalsRowShown="0" headerRowDxfId="22" dataDxfId="21">
  <autoFilter ref="A1:J2" xr:uid="{CC22AACE-1B2A-4A26-92F1-A20198B333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D7925077-9EC8-4F5D-81CA-D6E39FD8BEB0}" name="Nama Tanaman" dataDxfId="20"/>
    <tableColumn id="2" xr3:uid="{9C27DDF5-3331-4142-B5D6-30E49284AED8}" name="Varietas"/>
    <tableColumn id="7" xr3:uid="{2E0538BE-0E07-4F1A-BDBF-8E7F93C36F7F}" name="JP N" dataDxfId="19"/>
    <tableColumn id="3" xr3:uid="{1B309BD8-FAE8-4531-9275-292287F9550A}" name="N" dataDxfId="18"/>
    <tableColumn id="8" xr3:uid="{FC77E08C-2DEB-4C9F-A8AB-DCADD21A2762}" name="JP P" dataDxfId="17"/>
    <tableColumn id="4" xr3:uid="{53FE7160-41C0-473A-A8E8-BBD467A8CBF6}" name="P" dataDxfId="16"/>
    <tableColumn id="9" xr3:uid="{B14B614A-E2FF-4ED8-82DF-1E08CD890241}" name="JP K" dataDxfId="15"/>
    <tableColumn id="5" xr3:uid="{5DD1FB90-993D-471F-B6B4-2070131A3AF1}" name="K" dataDxfId="14"/>
    <tableColumn id="10" xr3:uid="{3F587A47-C28E-43AC-94C2-0EC81C850A6F}" name="JP Organik" dataDxfId="13"/>
    <tableColumn id="6" xr3:uid="{494EE897-84E4-4B33-BE04-63CAD92B2927}" name="Organik" dataDxfId="1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D9671B-3883-4294-AD2F-1B7BAEA8DF01}" name="tabelPupuk" displayName="tabelPupuk" ref="A1:J11" totalsRowShown="0" headerRowDxfId="11" dataDxfId="10">
  <autoFilter ref="A1:J11" xr:uid="{6509B569-C769-4BB5-B578-1497908DE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99AADF9A-D3E3-4944-84FB-227ED292A864}" name="Nama Pasar" dataDxfId="9"/>
    <tableColumn id="1" xr3:uid="{3EEC4B18-6592-4395-8674-26269358D010}" name="Jenis Komposisi" dataDxfId="8"/>
    <tableColumn id="7" xr3:uid="{038509BE-2A67-40FF-B63B-08E9F2F1E11C}" name="Jenis Bahan" dataDxfId="7"/>
    <tableColumn id="3" xr3:uid="{7AD1AE34-78A5-42BE-8A9B-1CD1DF34D0E8}" name="N" dataDxfId="6"/>
    <tableColumn id="4" xr3:uid="{5ADB3502-EAE5-4FD0-B40A-7D4A5305964C}" name="P2O5" dataDxfId="5"/>
    <tableColumn id="5" xr3:uid="{E5BC9F06-7A62-460D-A170-6D760EBF824E}" name="K2O" dataDxfId="4"/>
    <tableColumn id="6" xr3:uid="{3614B469-9F1C-4ACB-AE6B-589B779330AC}" name="MgSO4" dataDxfId="3"/>
    <tableColumn id="8" xr3:uid="{AB6E4720-3215-4D32-9C53-53371E05878C}" name="S" dataDxfId="2"/>
    <tableColumn id="9" xr3:uid="{A5A5ADE6-0D23-4BC3-B233-C2B2546FA6A2}" name="CaO" dataDxfId="1"/>
    <tableColumn id="10" xr3:uid="{1A5E3824-C6DA-457C-AD27-6D3F04BF0308}" name="Mg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C4273-9C99-48C2-8D9A-562734B91A75}">
  <sheetPr codeName="Sheet3"/>
  <dimension ref="B2:M23"/>
  <sheetViews>
    <sheetView topLeftCell="B1" workbookViewId="0">
      <selection activeCell="B3" sqref="B3"/>
    </sheetView>
  </sheetViews>
  <sheetFormatPr defaultRowHeight="14.25" x14ac:dyDescent="0.2"/>
  <cols>
    <col min="2" max="2" width="21.125" bestFit="1" customWidth="1"/>
    <col min="3" max="3" width="8.875" customWidth="1"/>
    <col min="4" max="4" width="18.5" customWidth="1"/>
    <col min="5" max="5" width="14.625" customWidth="1"/>
    <col min="7" max="7" width="15.875" bestFit="1" customWidth="1"/>
    <col min="8" max="8" width="14.25" customWidth="1"/>
    <col min="9" max="9" width="19.375" bestFit="1" customWidth="1"/>
    <col min="10" max="10" width="7" style="41" customWidth="1"/>
    <col min="11" max="11" width="9.75" customWidth="1"/>
  </cols>
  <sheetData>
    <row r="2" spans="2:13" ht="18.75" thickBot="1" x14ac:dyDescent="0.3">
      <c r="B2" s="37" t="s">
        <v>152</v>
      </c>
      <c r="C2" s="41"/>
      <c r="D2" s="56" t="s">
        <v>153</v>
      </c>
      <c r="E2" s="56"/>
      <c r="F2" s="41"/>
      <c r="G2" s="58" t="s">
        <v>162</v>
      </c>
      <c r="H2" s="58"/>
      <c r="I2" s="58"/>
      <c r="K2" s="56" t="s">
        <v>164</v>
      </c>
      <c r="L2" s="56"/>
      <c r="M2" s="56"/>
    </row>
    <row r="3" spans="2:13" ht="15.75" thickBot="1" x14ac:dyDescent="0.3">
      <c r="B3" s="50" t="s">
        <v>38</v>
      </c>
      <c r="C3" s="41"/>
      <c r="D3" s="40" t="s">
        <v>154</v>
      </c>
      <c r="E3" s="40" t="s">
        <v>155</v>
      </c>
      <c r="F3" s="41"/>
      <c r="G3" s="40" t="s">
        <v>163</v>
      </c>
      <c r="H3" s="57" t="s">
        <v>166</v>
      </c>
      <c r="I3" s="57"/>
      <c r="K3" s="52">
        <v>30</v>
      </c>
      <c r="L3" s="53">
        <v>30</v>
      </c>
      <c r="M3" s="44" t="s">
        <v>18</v>
      </c>
    </row>
    <row r="4" spans="2:13" x14ac:dyDescent="0.2">
      <c r="B4" s="41"/>
      <c r="C4" s="41"/>
      <c r="D4" s="39" t="s">
        <v>53</v>
      </c>
      <c r="E4" s="47">
        <f>INDEX(tabelPupuk[#All],MATCH($B$3,tabelPupuk[[#All],[Nama Pasar]],0),MATCH($D4,tabelPupuk[#Headers],0))</f>
        <v>0</v>
      </c>
      <c r="F4" s="41"/>
      <c r="G4" s="38" t="s">
        <v>6</v>
      </c>
      <c r="H4" s="53">
        <v>10</v>
      </c>
      <c r="I4" s="44" t="s">
        <v>7</v>
      </c>
      <c r="J4" s="32"/>
      <c r="K4" s="41"/>
      <c r="L4" s="41"/>
      <c r="M4" s="41"/>
    </row>
    <row r="5" spans="2:13" ht="15" x14ac:dyDescent="0.25">
      <c r="B5" s="41"/>
      <c r="C5" s="41"/>
      <c r="D5" s="39" t="s">
        <v>144</v>
      </c>
      <c r="E5" s="47">
        <f>INDEX(tabelPupuk[#All],MATCH($B$3,tabelPupuk[[#All],[Nama Pasar]],0),MATCH($D5,tabelPupuk[#Headers],0))</f>
        <v>0</v>
      </c>
      <c r="F5" s="41"/>
      <c r="G5" s="38" t="s">
        <v>9</v>
      </c>
      <c r="H5" s="53">
        <v>20</v>
      </c>
      <c r="I5" s="44" t="s">
        <v>18</v>
      </c>
      <c r="J5" s="32"/>
      <c r="K5" s="63" t="s">
        <v>179</v>
      </c>
      <c r="L5" s="63"/>
      <c r="M5" s="63"/>
    </row>
    <row r="6" spans="2:13" ht="15" x14ac:dyDescent="0.25">
      <c r="B6" s="40" t="s">
        <v>158</v>
      </c>
      <c r="C6" s="41"/>
      <c r="D6" s="39" t="s">
        <v>145</v>
      </c>
      <c r="E6" s="47">
        <f>INDEX(tabelPupuk[#All],MATCH($B$3,tabelPupuk[[#All],[Nama Pasar]],0),MATCH($D6,tabelPupuk[#Headers],0))</f>
        <v>60</v>
      </c>
      <c r="F6" s="41"/>
      <c r="G6" s="41"/>
      <c r="H6" s="41"/>
      <c r="I6" s="41"/>
      <c r="K6" s="64">
        <v>1</v>
      </c>
      <c r="L6" s="65"/>
      <c r="M6" s="44" t="s">
        <v>24</v>
      </c>
    </row>
    <row r="7" spans="2:13" x14ac:dyDescent="0.2">
      <c r="B7" s="48" t="e">
        <f>CONCATENATE(INDEX(tabelPupuk[Jenis Komposisi],MATCH($B$3,tabelPupuk[Nama Pasar],0))," ",INDEX(tabelPupuk[Jenis Bahan],MATCH($B$3,tabelPupuk #REF!,0)))</f>
        <v>#NAME?</v>
      </c>
      <c r="C7" s="41"/>
      <c r="D7" s="39" t="s">
        <v>137</v>
      </c>
      <c r="E7" s="47">
        <f>INDEX(tabelPupuk[#All],MATCH($B$3,tabelPupuk[[#All],[Nama Pasar]],0),MATCH($D7,tabelPupuk[#Headers],0))</f>
        <v>0</v>
      </c>
      <c r="F7" s="41"/>
      <c r="G7" s="41"/>
      <c r="H7" s="41"/>
      <c r="I7" s="41"/>
      <c r="K7" s="41"/>
      <c r="L7" s="41"/>
      <c r="M7" s="41"/>
    </row>
    <row r="8" spans="2:13" ht="15" x14ac:dyDescent="0.25">
      <c r="B8" s="41"/>
      <c r="C8" s="41"/>
      <c r="D8" s="39" t="s">
        <v>148</v>
      </c>
      <c r="E8" s="47">
        <f>INDEX(tabelPupuk[#All],MATCH($B$3,tabelPupuk[[#All],[Nama Pasar]],0),MATCH($D8,tabelPupuk[#Headers],0))</f>
        <v>0</v>
      </c>
      <c r="F8" s="41"/>
      <c r="G8" s="41"/>
      <c r="H8" s="41"/>
      <c r="I8" s="41"/>
      <c r="K8" s="63" t="s">
        <v>165</v>
      </c>
      <c r="L8" s="63"/>
      <c r="M8" s="63"/>
    </row>
    <row r="9" spans="2:13" x14ac:dyDescent="0.2">
      <c r="B9" s="41"/>
      <c r="C9" s="41"/>
      <c r="D9" s="39" t="s">
        <v>151</v>
      </c>
      <c r="E9" s="47">
        <f>INDEX(tabelPupuk[#All],MATCH($B$3,tabelPupuk[[#All],[Nama Pasar]],0),MATCH($D9,tabelPupuk[#Headers],0))</f>
        <v>0</v>
      </c>
      <c r="F9" s="41"/>
      <c r="G9" s="41"/>
      <c r="H9" s="41"/>
      <c r="I9" s="41"/>
      <c r="K9" s="61">
        <f>10000/((K3*L3)/10000)</f>
        <v>111111.11111111111</v>
      </c>
      <c r="L9" s="62"/>
      <c r="M9" s="44" t="s">
        <v>24</v>
      </c>
    </row>
    <row r="10" spans="2:13" x14ac:dyDescent="0.2">
      <c r="B10" s="41"/>
      <c r="C10" s="41"/>
      <c r="D10" s="39" t="s">
        <v>150</v>
      </c>
      <c r="E10" s="47">
        <f>INDEX(tabelPupuk[#All],MATCH($B$3,tabelPupuk[[#All],[Nama Pasar]],0),MATCH($D10,tabelPupuk[#Headers],0))</f>
        <v>0</v>
      </c>
      <c r="F10" s="41"/>
      <c r="G10" s="41"/>
      <c r="H10" s="41"/>
      <c r="I10" s="41"/>
      <c r="K10" s="41"/>
      <c r="L10" s="41"/>
      <c r="M10" s="41"/>
    </row>
    <row r="11" spans="2:13" x14ac:dyDescent="0.2">
      <c r="B11" s="41"/>
      <c r="C11" s="41"/>
      <c r="D11" s="41"/>
      <c r="E11" s="41"/>
      <c r="F11" s="41"/>
      <c r="G11" s="41"/>
      <c r="H11" s="41"/>
      <c r="I11" s="41"/>
      <c r="J11" s="42"/>
      <c r="K11" s="41"/>
      <c r="L11" s="41"/>
      <c r="M11" s="41"/>
    </row>
    <row r="12" spans="2:13" x14ac:dyDescent="0.2">
      <c r="B12" s="41"/>
      <c r="C12" s="41"/>
      <c r="D12" s="41"/>
      <c r="E12" s="41"/>
      <c r="F12" s="41"/>
      <c r="G12" s="41"/>
      <c r="H12" s="41"/>
      <c r="I12" s="41"/>
      <c r="J12" s="42"/>
      <c r="K12" s="41"/>
      <c r="L12" s="41"/>
      <c r="M12" s="41"/>
    </row>
    <row r="13" spans="2:13" ht="18.75" thickBot="1" x14ac:dyDescent="0.3">
      <c r="B13" s="37" t="s">
        <v>160</v>
      </c>
      <c r="C13" s="41"/>
      <c r="D13" s="56" t="s">
        <v>176</v>
      </c>
      <c r="E13" s="56"/>
      <c r="F13" s="41"/>
      <c r="G13" s="56" t="s">
        <v>177</v>
      </c>
      <c r="H13" s="56"/>
      <c r="I13" s="56"/>
      <c r="J13" s="42"/>
      <c r="K13" s="43" t="s">
        <v>175</v>
      </c>
      <c r="L13" s="56" t="s">
        <v>167</v>
      </c>
      <c r="M13" s="56"/>
    </row>
    <row r="14" spans="2:13" ht="15.75" thickBot="1" x14ac:dyDescent="0.3">
      <c r="B14" s="51" t="s">
        <v>159</v>
      </c>
      <c r="C14" s="41"/>
      <c r="D14" s="40" t="s">
        <v>154</v>
      </c>
      <c r="E14" s="40" t="s">
        <v>161</v>
      </c>
      <c r="F14" s="41"/>
      <c r="G14" s="40" t="s">
        <v>174</v>
      </c>
      <c r="H14" s="40" t="s">
        <v>154</v>
      </c>
      <c r="I14" s="45" t="str">
        <f>IF(L14="Jarak Tanam","Jumlah per Tanaman","Jumlah per Pot")</f>
        <v>Jumlah per Pot</v>
      </c>
      <c r="J14" s="42"/>
      <c r="K14" s="54" t="s">
        <v>12</v>
      </c>
      <c r="L14" s="59" t="s">
        <v>6</v>
      </c>
      <c r="M14" s="60"/>
    </row>
    <row r="15" spans="2:13" ht="14.25" customHeight="1" x14ac:dyDescent="0.25">
      <c r="B15" s="41"/>
      <c r="C15" s="41"/>
      <c r="D15" s="39" t="str">
        <f>VLOOKUP($B$14,tabelTanaman[#All],3,FALSE)</f>
        <v>Urea</v>
      </c>
      <c r="E15" s="47">
        <f>VLOOKUP($B$14,tabelTanaman[#All],4,FALSE)</f>
        <v>50</v>
      </c>
      <c r="F15" s="41"/>
      <c r="G15" s="66" t="str">
        <f>B3</f>
        <v>KCl</v>
      </c>
      <c r="H15" s="38" t="s">
        <v>53</v>
      </c>
      <c r="I15" s="48">
        <f>IF($K$14="g",IF($L$14="Jarak Tanam",IFERROR(E15*(VLOOKUP($D15,tabelPupuk[#All],4,FALSE)/VLOOKUP($B$3,tabelPupuk[#All],4,FALSE)),0)*(1/$K$9),IFERROR(E15*(VLOOKUP($D15,tabelPupuk[#All],4,FALSE)/VLOOKUP($B$3,tabelPupuk[#All],4,FALSE)),0)*($H$4/($H$5*100000)))*1000,IF($L$14="Jarak Tanam",IFERROR(E15*(VLOOKUP($D15,tabelPupuk[#All],4,FALSE)/VLOOKUP($B$3,tabelPupuk[#All],4,FALSE)),0)*(1/$K$9),IFERROR(E15*(VLOOKUP($D15,tabelPupuk[#All],4,FALSE)/VLOOKUP($B$3,tabelPupuk[#All],4,FALSE)),0)*($H$4/($H$5*100000)))*1)</f>
        <v>0</v>
      </c>
      <c r="K15" s="70" t="s">
        <v>178</v>
      </c>
      <c r="L15" s="71"/>
      <c r="M15" s="71"/>
    </row>
    <row r="16" spans="2:13" ht="14.25" customHeight="1" x14ac:dyDescent="0.25">
      <c r="B16" s="41"/>
      <c r="C16" s="41"/>
      <c r="D16" s="39" t="str">
        <f>VLOOKUP($B$14,tabelTanaman[#All],5,FALSE)</f>
        <v>SP-36</v>
      </c>
      <c r="E16" s="47">
        <f>VLOOKUP($B$14,tabelTanaman[#All],6,FALSE)</f>
        <v>150</v>
      </c>
      <c r="F16" s="41"/>
      <c r="G16" s="66"/>
      <c r="H16" s="38" t="s">
        <v>132</v>
      </c>
      <c r="I16" s="48">
        <f>IF($K$14="g",IF($L$14="Jarak Tanam",IFERROR(E16*(VLOOKUP($D16,tabelPupuk[#All],5,FALSE)/VLOOKUP($B$3,tabelPupuk[#All],5,FALSE)),0)*(1/$K$9),IFERROR(E16*(VLOOKUP($D16,tabelPupuk[#All],5,FALSE)/VLOOKUP($B$3,tabelPupuk[#All],5,FALSE)),0)*($H$4/($H$5*100000)))*1000,IF($L$14="Jarak Tanam",IFERROR(E16*(VLOOKUP($D16,tabelPupuk[#All],5,FALSE)/VLOOKUP($B$3,tabelPupuk[#All],5,FALSE)),0)*(1/$K$9),IFERROR(E16*(VLOOKUP($D16,tabelPupuk[#All],5,FALSE)/VLOOKUP($B$3,tabelPupuk[#All],5,FALSE)),0)*($H$4/($H$5*100000)))*1)</f>
        <v>0</v>
      </c>
      <c r="J16" s="42"/>
      <c r="K16" s="57" t="str">
        <f>G15</f>
        <v>KCl</v>
      </c>
      <c r="L16" s="57"/>
      <c r="M16" s="46" t="s">
        <v>169</v>
      </c>
    </row>
    <row r="17" spans="2:13" ht="15" customHeight="1" x14ac:dyDescent="0.25">
      <c r="B17" s="40" t="s">
        <v>157</v>
      </c>
      <c r="D17" s="39" t="str">
        <f>VLOOKUP($B$14,tabelTanaman[#All],7,FALSE)</f>
        <v>KCl</v>
      </c>
      <c r="E17" s="47">
        <f>VLOOKUP($B$14,tabelTanaman[#All],8,FALSE)</f>
        <v>75</v>
      </c>
      <c r="G17" s="66"/>
      <c r="H17" s="38" t="s">
        <v>133</v>
      </c>
      <c r="I17" s="48">
        <f>IF($K$14="g",IF($L$14="Jarak Tanam",IFERROR(E17*(VLOOKUP($D17,tabelPupuk[#All],6,FALSE)/VLOOKUP($B$3,tabelPupuk[#All],6,FALSE)),0)*(1/$K$9),IFERROR(E17*(VLOOKUP($D17,tabelPupuk[#All],6,FALSE)/VLOOKUP($B$3,tabelPupuk[#All],6,FALSE)),0)*($H$4/($H$5*100000)))*1000,IF($L$14="Jarak Tanam",IFERROR(E17*(VLOOKUP($D17,tabelPupuk[#All],6,FALSE)/VLOOKUP($B$3,tabelPupuk[#All],6,FALSE)),0)*(1/$K$9),IFERROR(E17*(VLOOKUP($D17,tabelPupuk[#All],6,FALSE)/VLOOKUP($B$3,tabelPupuk[#All],6,FALSE)),0)*($H$4/($H$5*100000)))*1)</f>
        <v>0.375</v>
      </c>
      <c r="K17" s="69" t="str">
        <f>CONCATENATE(ROUND(MAX($I$15:$I$17)*$K$6,2)," ",$K$14)</f>
        <v>0,38 g</v>
      </c>
      <c r="L17" s="69"/>
      <c r="M17" s="69" t="str">
        <f>CONCATENATE($I$18," ",$K$14)</f>
        <v>37,5 g</v>
      </c>
    </row>
    <row r="18" spans="2:13" ht="14.25" customHeight="1" x14ac:dyDescent="0.2">
      <c r="B18" s="49" t="str">
        <f>IF(VLOOKUP(B14,tabelTanaman[#All],2,FALSE) = 0,"Tidak ada info","")</f>
        <v>Tidak ada info</v>
      </c>
      <c r="D18" s="39" t="str">
        <f>VLOOKUP($B$14,tabelTanaman[#All],9,FALSE)</f>
        <v>Pupuk Kandang Sapi</v>
      </c>
      <c r="E18" s="47">
        <f>VLOOKUP($B$14,tabelTanaman[#All],10,FALSE)</f>
        <v>7500</v>
      </c>
      <c r="G18" s="67" t="str">
        <f>D18</f>
        <v>Pupuk Kandang Sapi</v>
      </c>
      <c r="H18" s="68"/>
      <c r="I18" s="48">
        <f>IF($K$14="g",IF($L$14="Jarak Tanam",$E$18*(1/$K$9),$E$18*($H$4/($H$5*100000)))*1000,IF($L$14="Jarak Tanam",$E$18*(1/$K$9),$E$18*($H$4/($H$5*100000)))*1)</f>
        <v>37.500000000000007</v>
      </c>
      <c r="K18" s="69"/>
      <c r="L18" s="69"/>
      <c r="M18" s="69"/>
    </row>
    <row r="22" spans="2:13" x14ac:dyDescent="0.2">
      <c r="D22" s="32"/>
    </row>
    <row r="23" spans="2:13" x14ac:dyDescent="0.2">
      <c r="D23" s="32"/>
    </row>
  </sheetData>
  <mergeCells count="18">
    <mergeCell ref="G15:G17"/>
    <mergeCell ref="G18:H18"/>
    <mergeCell ref="K17:L18"/>
    <mergeCell ref="K16:L16"/>
    <mergeCell ref="K15:M15"/>
    <mergeCell ref="M17:M18"/>
    <mergeCell ref="K2:M2"/>
    <mergeCell ref="H3:I3"/>
    <mergeCell ref="D2:E2"/>
    <mergeCell ref="G2:I2"/>
    <mergeCell ref="L14:M14"/>
    <mergeCell ref="L13:M13"/>
    <mergeCell ref="K9:L9"/>
    <mergeCell ref="K8:M8"/>
    <mergeCell ref="D13:E13"/>
    <mergeCell ref="G13:I13"/>
    <mergeCell ref="K5:M5"/>
    <mergeCell ref="K6:L6"/>
  </mergeCells>
  <dataValidations count="4">
    <dataValidation type="list" allowBlank="1" showInputMessage="1" showErrorMessage="1" sqref="B3" xr:uid="{6A578A80-C4C5-48C9-BBED-BDB917CC0147}">
      <formula1>NamaPupuk</formula1>
    </dataValidation>
    <dataValidation type="list" allowBlank="1" showInputMessage="1" showErrorMessage="1" sqref="B14" xr:uid="{861372F4-F48B-47DB-B67D-AE6639285BC1}">
      <formula1>NamaTanaman</formula1>
    </dataValidation>
    <dataValidation type="list" allowBlank="1" showInputMessage="1" showErrorMessage="1" sqref="L14" xr:uid="{19F1E614-EC3C-4E82-96F2-65116DFD47AB}">
      <formula1>"Jarak Tanam, Berat Tanah"</formula1>
    </dataValidation>
    <dataValidation type="list" allowBlank="1" showInputMessage="1" showErrorMessage="1" sqref="K14" xr:uid="{24096BEB-8088-41C6-AAB2-BE270B9A5EF9}">
      <formula1>"kg,g"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5849C-83C5-4731-8691-80D9D846792B}">
  <sheetPr codeName="Sheet1"/>
  <dimension ref="A1:J2"/>
  <sheetViews>
    <sheetView tabSelected="1" workbookViewId="0">
      <selection activeCell="J9" sqref="J9"/>
    </sheetView>
  </sheetViews>
  <sheetFormatPr defaultRowHeight="14.25" x14ac:dyDescent="0.2"/>
  <cols>
    <col min="1" max="1" width="16.5" customWidth="1"/>
    <col min="2" max="2" width="13.75" customWidth="1"/>
    <col min="3" max="3" width="13.75" style="42" customWidth="1"/>
    <col min="5" max="5" width="9" style="42"/>
    <col min="7" max="7" width="9" style="42"/>
    <col min="9" max="9" width="16.5" style="42" bestFit="1" customWidth="1"/>
    <col min="10" max="10" width="14.625" customWidth="1"/>
  </cols>
  <sheetData>
    <row r="1" spans="1:10" x14ac:dyDescent="0.2">
      <c r="A1" s="32" t="s">
        <v>156</v>
      </c>
      <c r="B1" s="32" t="s">
        <v>157</v>
      </c>
      <c r="C1" s="32" t="s">
        <v>170</v>
      </c>
      <c r="D1" s="32" t="s">
        <v>53</v>
      </c>
      <c r="E1" s="32" t="s">
        <v>171</v>
      </c>
      <c r="F1" s="32" t="s">
        <v>132</v>
      </c>
      <c r="G1" s="32" t="s">
        <v>172</v>
      </c>
      <c r="H1" s="32" t="s">
        <v>133</v>
      </c>
      <c r="I1" s="32" t="s">
        <v>173</v>
      </c>
      <c r="J1" s="32" t="s">
        <v>169</v>
      </c>
    </row>
    <row r="2" spans="1:10" ht="15" x14ac:dyDescent="0.25">
      <c r="A2" s="32" t="s">
        <v>159</v>
      </c>
      <c r="B2" s="32"/>
      <c r="C2" s="32" t="s">
        <v>32</v>
      </c>
      <c r="D2" s="1">
        <v>50</v>
      </c>
      <c r="E2" s="1" t="s">
        <v>35</v>
      </c>
      <c r="F2" s="1">
        <v>150</v>
      </c>
      <c r="G2" s="1" t="s">
        <v>38</v>
      </c>
      <c r="H2" s="1">
        <v>75</v>
      </c>
      <c r="I2" s="1" t="s">
        <v>168</v>
      </c>
      <c r="J2" s="1">
        <v>7500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owUserFormTanaman">
                <anchor moveWithCells="1" sizeWithCells="1">
                  <from>
                    <xdr:col>10</xdr:col>
                    <xdr:colOff>342900</xdr:colOff>
                    <xdr:row>2</xdr:row>
                    <xdr:rowOff>47625</xdr:rowOff>
                  </from>
                  <to>
                    <xdr:col>12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howUFDeleteTanaman">
                <anchor moveWithCells="1" sizeWithCells="1">
                  <from>
                    <xdr:col>12</xdr:col>
                    <xdr:colOff>123825</xdr:colOff>
                    <xdr:row>2</xdr:row>
                    <xdr:rowOff>47625</xdr:rowOff>
                  </from>
                  <to>
                    <xdr:col>13</xdr:col>
                    <xdr:colOff>514350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0195-5FDB-4E77-8E1A-E8A7A49B6E45}">
  <sheetPr codeName="Sheet2"/>
  <dimension ref="A1:J13"/>
  <sheetViews>
    <sheetView workbookViewId="0">
      <selection activeCell="L6" sqref="L6"/>
    </sheetView>
  </sheetViews>
  <sheetFormatPr defaultRowHeight="14.25" x14ac:dyDescent="0.2"/>
  <cols>
    <col min="1" max="2" width="15.5" style="30" bestFit="1" customWidth="1"/>
    <col min="3" max="3" width="15" bestFit="1" customWidth="1"/>
    <col min="4" max="4" width="12.25" bestFit="1" customWidth="1"/>
  </cols>
  <sheetData>
    <row r="1" spans="1:10" x14ac:dyDescent="0.2">
      <c r="A1" s="35" t="s">
        <v>180</v>
      </c>
      <c r="B1" s="36" t="s">
        <v>140</v>
      </c>
      <c r="C1" s="36" t="s">
        <v>141</v>
      </c>
      <c r="D1" s="34" t="s">
        <v>53</v>
      </c>
      <c r="E1" s="34" t="s">
        <v>144</v>
      </c>
      <c r="F1" s="34" t="s">
        <v>145</v>
      </c>
      <c r="G1" s="33" t="s">
        <v>137</v>
      </c>
      <c r="H1" s="33" t="s">
        <v>148</v>
      </c>
      <c r="I1" s="33" t="s">
        <v>151</v>
      </c>
      <c r="J1" s="33" t="s">
        <v>150</v>
      </c>
    </row>
    <row r="2" spans="1:10" x14ac:dyDescent="0.2">
      <c r="A2" s="32" t="s">
        <v>32</v>
      </c>
      <c r="B2" s="32" t="s">
        <v>134</v>
      </c>
      <c r="C2" s="32" t="s">
        <v>142</v>
      </c>
      <c r="D2" s="30">
        <v>46</v>
      </c>
      <c r="E2" s="30">
        <v>0</v>
      </c>
      <c r="F2" s="30">
        <v>0</v>
      </c>
      <c r="G2" s="32">
        <v>0</v>
      </c>
      <c r="H2" s="32">
        <v>0</v>
      </c>
      <c r="I2" s="32">
        <v>0</v>
      </c>
      <c r="J2" s="32">
        <v>0</v>
      </c>
    </row>
    <row r="3" spans="1:10" x14ac:dyDescent="0.2">
      <c r="A3" s="32" t="s">
        <v>35</v>
      </c>
      <c r="B3" s="32" t="s">
        <v>134</v>
      </c>
      <c r="C3" s="32" t="s">
        <v>142</v>
      </c>
      <c r="D3" s="30">
        <v>0</v>
      </c>
      <c r="E3" s="30">
        <v>36</v>
      </c>
      <c r="F3" s="30">
        <v>0</v>
      </c>
      <c r="G3" s="32">
        <v>0</v>
      </c>
      <c r="H3" s="32">
        <v>0</v>
      </c>
      <c r="I3" s="32">
        <v>0</v>
      </c>
      <c r="J3" s="32">
        <v>0</v>
      </c>
    </row>
    <row r="4" spans="1:10" x14ac:dyDescent="0.2">
      <c r="A4" s="32" t="s">
        <v>38</v>
      </c>
      <c r="B4" s="32" t="s">
        <v>134</v>
      </c>
      <c r="C4" s="32" t="s">
        <v>142</v>
      </c>
      <c r="D4" s="30">
        <v>0</v>
      </c>
      <c r="E4" s="30">
        <v>0</v>
      </c>
      <c r="F4" s="30">
        <v>60</v>
      </c>
      <c r="G4" s="32">
        <v>0</v>
      </c>
      <c r="H4" s="32">
        <v>0</v>
      </c>
      <c r="I4" s="32">
        <v>0</v>
      </c>
      <c r="J4" s="32">
        <v>0</v>
      </c>
    </row>
    <row r="5" spans="1:10" x14ac:dyDescent="0.2">
      <c r="A5" s="32" t="s">
        <v>136</v>
      </c>
      <c r="B5" s="32" t="s">
        <v>135</v>
      </c>
      <c r="C5" s="32" t="s">
        <v>142</v>
      </c>
      <c r="D5" s="32">
        <v>20</v>
      </c>
      <c r="E5" s="32">
        <v>15</v>
      </c>
      <c r="F5" s="32">
        <v>15</v>
      </c>
      <c r="G5" s="32">
        <v>1</v>
      </c>
      <c r="H5" s="32">
        <v>0</v>
      </c>
      <c r="I5" s="32">
        <v>0</v>
      </c>
      <c r="J5" s="32">
        <v>0</v>
      </c>
    </row>
    <row r="6" spans="1:10" x14ac:dyDescent="0.2">
      <c r="A6" s="32" t="s">
        <v>138</v>
      </c>
      <c r="B6" s="32" t="s">
        <v>135</v>
      </c>
      <c r="C6" s="32" t="s">
        <v>142</v>
      </c>
      <c r="D6" s="32">
        <v>6</v>
      </c>
      <c r="E6" s="32">
        <v>20</v>
      </c>
      <c r="F6" s="32">
        <v>30</v>
      </c>
      <c r="G6" s="32">
        <v>3</v>
      </c>
      <c r="H6" s="32">
        <v>0</v>
      </c>
      <c r="I6" s="32">
        <v>0</v>
      </c>
      <c r="J6" s="32">
        <v>0</v>
      </c>
    </row>
    <row r="7" spans="1:10" x14ac:dyDescent="0.2">
      <c r="A7" s="32" t="s">
        <v>139</v>
      </c>
      <c r="B7" s="32" t="s">
        <v>134</v>
      </c>
      <c r="C7" s="32" t="s">
        <v>142</v>
      </c>
      <c r="D7" s="32">
        <v>21</v>
      </c>
      <c r="E7" s="32">
        <v>0</v>
      </c>
      <c r="F7" s="32">
        <v>0</v>
      </c>
      <c r="G7" s="32">
        <v>0</v>
      </c>
      <c r="H7" s="32">
        <v>0</v>
      </c>
      <c r="I7" s="32">
        <v>0</v>
      </c>
      <c r="J7" s="32">
        <v>0</v>
      </c>
    </row>
    <row r="8" spans="1:10" x14ac:dyDescent="0.2">
      <c r="A8" s="32" t="s">
        <v>143</v>
      </c>
      <c r="B8" s="32" t="s">
        <v>134</v>
      </c>
      <c r="C8" s="32" t="s">
        <v>142</v>
      </c>
      <c r="D8" s="32">
        <v>0</v>
      </c>
      <c r="E8" s="32">
        <v>45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</row>
    <row r="9" spans="1:10" x14ac:dyDescent="0.2">
      <c r="A9" s="32" t="s">
        <v>146</v>
      </c>
      <c r="B9" s="32" t="s">
        <v>135</v>
      </c>
      <c r="C9" s="32" t="s">
        <v>142</v>
      </c>
      <c r="D9" s="32">
        <v>13</v>
      </c>
      <c r="E9" s="32">
        <v>0</v>
      </c>
      <c r="F9" s="32">
        <v>45</v>
      </c>
      <c r="G9" s="32">
        <v>0</v>
      </c>
      <c r="H9" s="32">
        <v>0</v>
      </c>
      <c r="I9" s="32">
        <v>0</v>
      </c>
      <c r="J9" s="32">
        <v>0</v>
      </c>
    </row>
    <row r="10" spans="1:10" x14ac:dyDescent="0.2">
      <c r="A10" s="32" t="s">
        <v>147</v>
      </c>
      <c r="B10" s="32" t="s">
        <v>135</v>
      </c>
      <c r="C10" s="32" t="s">
        <v>142</v>
      </c>
      <c r="D10" s="32">
        <v>15</v>
      </c>
      <c r="E10" s="32">
        <v>15</v>
      </c>
      <c r="F10" s="32">
        <v>15</v>
      </c>
      <c r="G10" s="32">
        <v>0</v>
      </c>
      <c r="H10" s="32">
        <v>10</v>
      </c>
      <c r="I10" s="32">
        <v>0</v>
      </c>
      <c r="J10" s="32">
        <v>0</v>
      </c>
    </row>
    <row r="11" spans="1:10" x14ac:dyDescent="0.2">
      <c r="A11" s="32" t="s">
        <v>149</v>
      </c>
      <c r="B11" s="32" t="s">
        <v>135</v>
      </c>
      <c r="C11" s="32" t="s">
        <v>142</v>
      </c>
      <c r="D11" s="32">
        <v>16</v>
      </c>
      <c r="E11" s="32">
        <v>16</v>
      </c>
      <c r="F11" s="32">
        <v>16</v>
      </c>
      <c r="G11" s="32">
        <v>0</v>
      </c>
      <c r="H11" s="32">
        <v>0</v>
      </c>
      <c r="I11" s="32">
        <v>6</v>
      </c>
      <c r="J11" s="32">
        <v>0.5</v>
      </c>
    </row>
    <row r="12" spans="1:10" x14ac:dyDescent="0.2">
      <c r="A12" s="32"/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2">
      <c r="A13" s="32"/>
      <c r="B13" s="32"/>
      <c r="C13" s="32"/>
      <c r="D13" s="32"/>
      <c r="E13" s="32"/>
      <c r="F13" s="32"/>
      <c r="G13" s="32"/>
      <c r="H13" s="32"/>
      <c r="I13" s="32"/>
      <c r="J13" s="3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00"/>
  <sheetViews>
    <sheetView workbookViewId="0">
      <selection activeCell="B16" sqref="B16"/>
    </sheetView>
  </sheetViews>
  <sheetFormatPr defaultColWidth="12.625" defaultRowHeight="15" customHeight="1" x14ac:dyDescent="0.2"/>
  <cols>
    <col min="1" max="1" width="22" customWidth="1"/>
    <col min="2" max="2" width="7.625" customWidth="1"/>
    <col min="3" max="3" width="10.625" customWidth="1"/>
    <col min="4" max="4" width="11.125" customWidth="1"/>
    <col min="5" max="7" width="7.625" customWidth="1"/>
    <col min="8" max="8" width="5.125" customWidth="1"/>
    <col min="9" max="26" width="7.625" customWidth="1"/>
  </cols>
  <sheetData>
    <row r="1" spans="1:18" x14ac:dyDescent="0.25">
      <c r="A1" s="1" t="s">
        <v>6</v>
      </c>
      <c r="B1" s="1">
        <v>10</v>
      </c>
      <c r="C1" s="1" t="s">
        <v>7</v>
      </c>
    </row>
    <row r="2" spans="1:18" x14ac:dyDescent="0.25">
      <c r="A2" s="1" t="s">
        <v>9</v>
      </c>
      <c r="B2" s="1">
        <v>20</v>
      </c>
      <c r="C2" s="1" t="s">
        <v>18</v>
      </c>
      <c r="D2" s="1">
        <f>B2/100</f>
        <v>0.2</v>
      </c>
      <c r="E2" s="1" t="s">
        <v>10</v>
      </c>
      <c r="I2" s="2" t="s">
        <v>51</v>
      </c>
    </row>
    <row r="3" spans="1:18" x14ac:dyDescent="0.25">
      <c r="A3" s="1" t="s">
        <v>13</v>
      </c>
      <c r="B3" s="1">
        <f>D2*10000</f>
        <v>2000</v>
      </c>
      <c r="C3" s="1" t="s">
        <v>14</v>
      </c>
      <c r="D3" s="8">
        <f>B3*1000</f>
        <v>2000000</v>
      </c>
      <c r="E3" s="1" t="s">
        <v>7</v>
      </c>
      <c r="I3" s="1">
        <f>500/B6</f>
        <v>4.4999999999999997E-3</v>
      </c>
      <c r="J3" s="2" t="s">
        <v>52</v>
      </c>
      <c r="K3" s="1">
        <f>I3*(H14+12)</f>
        <v>0.21599999999999997</v>
      </c>
      <c r="L3" s="2" t="s">
        <v>52</v>
      </c>
      <c r="M3" s="1">
        <f>1.5*0.216</f>
        <v>0.32400000000000001</v>
      </c>
      <c r="N3" s="2" t="s">
        <v>12</v>
      </c>
    </row>
    <row r="4" spans="1:18" x14ac:dyDescent="0.25">
      <c r="A4" s="1" t="s">
        <v>17</v>
      </c>
      <c r="B4" s="1">
        <v>30</v>
      </c>
      <c r="C4" s="1" t="s">
        <v>18</v>
      </c>
      <c r="D4" s="1">
        <f>(B4*B5)/10000</f>
        <v>0.09</v>
      </c>
      <c r="E4" s="1" t="s">
        <v>19</v>
      </c>
    </row>
    <row r="5" spans="1:18" x14ac:dyDescent="0.25">
      <c r="B5" s="1">
        <v>30</v>
      </c>
      <c r="C5" s="1" t="s">
        <v>18</v>
      </c>
    </row>
    <row r="6" spans="1:18" x14ac:dyDescent="0.25">
      <c r="A6" s="1" t="s">
        <v>23</v>
      </c>
      <c r="B6" s="6">
        <f>10000/D4</f>
        <v>111111.11111111111</v>
      </c>
      <c r="C6" s="1" t="s">
        <v>24</v>
      </c>
    </row>
    <row r="8" spans="1:18" x14ac:dyDescent="0.25">
      <c r="A8" s="1" t="s">
        <v>29</v>
      </c>
    </row>
    <row r="9" spans="1:18" x14ac:dyDescent="0.25">
      <c r="A9" s="1" t="s">
        <v>32</v>
      </c>
      <c r="B9" s="1">
        <v>50</v>
      </c>
      <c r="C9" s="1" t="s">
        <v>33</v>
      </c>
      <c r="E9" s="4" t="s">
        <v>53</v>
      </c>
      <c r="F9" s="1">
        <v>46</v>
      </c>
      <c r="G9" s="4" t="s">
        <v>16</v>
      </c>
      <c r="I9" s="1">
        <f t="shared" ref="I9:I11" si="0">(F9/100)*B9</f>
        <v>23</v>
      </c>
      <c r="J9" s="4" t="s">
        <v>54</v>
      </c>
    </row>
    <row r="10" spans="1:18" x14ac:dyDescent="0.25">
      <c r="A10" s="1" t="s">
        <v>35</v>
      </c>
      <c r="B10" s="1">
        <v>150</v>
      </c>
      <c r="C10" s="1" t="s">
        <v>36</v>
      </c>
      <c r="E10" s="4" t="s">
        <v>55</v>
      </c>
      <c r="F10" s="1">
        <v>36</v>
      </c>
      <c r="G10" s="4" t="s">
        <v>16</v>
      </c>
      <c r="I10" s="1">
        <f t="shared" si="0"/>
        <v>54</v>
      </c>
      <c r="J10" s="4" t="s">
        <v>56</v>
      </c>
      <c r="M10" s="1">
        <f>(1/B6)*(100/14)*I10</f>
        <v>3.4714285714285715E-3</v>
      </c>
      <c r="O10" s="29">
        <f>M10*1000</f>
        <v>3.4714285714285715</v>
      </c>
      <c r="Q10" s="28">
        <f t="shared" ref="Q10:Q11" si="1">O10/2</f>
        <v>1.7357142857142858</v>
      </c>
    </row>
    <row r="11" spans="1:18" x14ac:dyDescent="0.25">
      <c r="A11" s="1" t="s">
        <v>38</v>
      </c>
      <c r="B11" s="1">
        <v>75</v>
      </c>
      <c r="C11" s="1" t="s">
        <v>39</v>
      </c>
      <c r="E11" s="4" t="s">
        <v>57</v>
      </c>
      <c r="F11" s="1">
        <v>60</v>
      </c>
      <c r="G11" s="4" t="s">
        <v>16</v>
      </c>
      <c r="I11" s="9">
        <f t="shared" si="0"/>
        <v>45</v>
      </c>
      <c r="J11" s="4" t="s">
        <v>58</v>
      </c>
      <c r="M11" s="1">
        <f>(1/B6)*(100/50)*I11</f>
        <v>8.1000000000000006E-4</v>
      </c>
      <c r="N11" s="4" t="s">
        <v>7</v>
      </c>
      <c r="O11" s="1">
        <f t="shared" ref="O11" si="2">M11*1000</f>
        <v>0.81</v>
      </c>
      <c r="P11" s="4" t="s">
        <v>12</v>
      </c>
      <c r="Q11" s="1">
        <f t="shared" si="1"/>
        <v>0.40500000000000003</v>
      </c>
      <c r="R11" s="4" t="s">
        <v>12</v>
      </c>
    </row>
    <row r="12" spans="1:18" x14ac:dyDescent="0.25">
      <c r="A12" s="4" t="s">
        <v>59</v>
      </c>
      <c r="B12" s="1">
        <v>7500</v>
      </c>
      <c r="C12" s="4" t="s">
        <v>2</v>
      </c>
    </row>
    <row r="14" spans="1:18" x14ac:dyDescent="0.25">
      <c r="D14" s="10" t="s">
        <v>3</v>
      </c>
      <c r="G14" s="11" t="s">
        <v>60</v>
      </c>
      <c r="H14" s="12">
        <v>36</v>
      </c>
      <c r="I14" s="12" t="s">
        <v>61</v>
      </c>
      <c r="K14" s="72" t="s">
        <v>62</v>
      </c>
      <c r="L14" s="73"/>
      <c r="O14" s="1">
        <f>H14*O10</f>
        <v>124.97142857142858</v>
      </c>
      <c r="P14" s="4" t="s">
        <v>12</v>
      </c>
    </row>
    <row r="15" spans="1:18" x14ac:dyDescent="0.25">
      <c r="A15" s="1" t="s">
        <v>42</v>
      </c>
      <c r="D15" s="13"/>
      <c r="G15" s="13"/>
      <c r="K15" s="73"/>
      <c r="L15" s="73"/>
      <c r="O15" s="1">
        <f>H14*O11</f>
        <v>29.160000000000004</v>
      </c>
      <c r="P15" s="4" t="s">
        <v>12</v>
      </c>
    </row>
    <row r="16" spans="1:18" x14ac:dyDescent="0.25">
      <c r="A16" s="1" t="s">
        <v>32</v>
      </c>
      <c r="B16" s="55">
        <f>($B$1/$D$3)*B9</f>
        <v>2.5000000000000001E-4</v>
      </c>
      <c r="C16" s="1" t="s">
        <v>43</v>
      </c>
      <c r="D16" s="14">
        <f t="shared" ref="D16:D19" si="3">B16*1000</f>
        <v>0.25</v>
      </c>
      <c r="E16" s="12" t="s">
        <v>44</v>
      </c>
      <c r="F16" s="1">
        <f t="shared" ref="F16:F18" si="4">D16/2</f>
        <v>0.125</v>
      </c>
      <c r="G16" s="15">
        <f t="shared" ref="G16:G18" si="5">D16*$H$14</f>
        <v>9</v>
      </c>
      <c r="H16" s="16" t="s">
        <v>12</v>
      </c>
      <c r="K16" s="73"/>
      <c r="L16" s="73"/>
    </row>
    <row r="17" spans="1:12" x14ac:dyDescent="0.25">
      <c r="A17" s="1" t="s">
        <v>35</v>
      </c>
      <c r="B17" s="1">
        <f t="shared" ref="B17:B19" si="6">($B$1/$D$3)*B10</f>
        <v>7.5000000000000002E-4</v>
      </c>
      <c r="C17" s="1" t="s">
        <v>45</v>
      </c>
      <c r="D17" s="14">
        <f t="shared" si="3"/>
        <v>0.75</v>
      </c>
      <c r="E17" s="12" t="s">
        <v>44</v>
      </c>
      <c r="F17" s="1">
        <f t="shared" si="4"/>
        <v>0.375</v>
      </c>
      <c r="G17" s="15">
        <f t="shared" si="5"/>
        <v>27</v>
      </c>
      <c r="H17" s="16" t="s">
        <v>12</v>
      </c>
      <c r="K17" s="73"/>
      <c r="L17" s="73"/>
    </row>
    <row r="18" spans="1:12" x14ac:dyDescent="0.25">
      <c r="A18" s="1" t="s">
        <v>38</v>
      </c>
      <c r="B18" s="1">
        <f t="shared" si="6"/>
        <v>3.7500000000000001E-4</v>
      </c>
      <c r="C18" s="1" t="s">
        <v>46</v>
      </c>
      <c r="D18" s="14">
        <f t="shared" si="3"/>
        <v>0.375</v>
      </c>
      <c r="E18" s="12" t="s">
        <v>44</v>
      </c>
      <c r="F18" s="1">
        <f t="shared" si="4"/>
        <v>0.1875</v>
      </c>
      <c r="G18" s="15">
        <f t="shared" si="5"/>
        <v>13.5</v>
      </c>
      <c r="H18" s="16" t="s">
        <v>12</v>
      </c>
      <c r="K18" s="73"/>
      <c r="L18" s="73"/>
    </row>
    <row r="19" spans="1:12" x14ac:dyDescent="0.25">
      <c r="A19" s="4" t="s">
        <v>59</v>
      </c>
      <c r="B19" s="1">
        <f t="shared" si="6"/>
        <v>3.7500000000000006E-2</v>
      </c>
      <c r="C19" s="4" t="s">
        <v>63</v>
      </c>
      <c r="D19" s="14">
        <f t="shared" si="3"/>
        <v>37.500000000000007</v>
      </c>
      <c r="E19" s="12" t="s">
        <v>44</v>
      </c>
      <c r="G19" s="17">
        <f>D19*H14</f>
        <v>1350.0000000000002</v>
      </c>
      <c r="H19" s="18" t="s">
        <v>12</v>
      </c>
      <c r="I19" s="16">
        <f>G19/1000</f>
        <v>1.3500000000000003</v>
      </c>
      <c r="J19" s="16" t="s">
        <v>7</v>
      </c>
      <c r="K19" s="73"/>
      <c r="L19" s="73"/>
    </row>
    <row r="20" spans="1:12" x14ac:dyDescent="0.25">
      <c r="D20" s="13"/>
      <c r="G20" s="17"/>
      <c r="H20" s="18"/>
    </row>
    <row r="21" spans="1:12" ht="15.75" customHeight="1" x14ac:dyDescent="0.25">
      <c r="A21" s="1" t="s">
        <v>47</v>
      </c>
      <c r="D21" s="13"/>
      <c r="G21" s="17"/>
      <c r="H21" s="18"/>
    </row>
    <row r="22" spans="1:12" ht="15.75" customHeight="1" x14ac:dyDescent="0.25">
      <c r="A22" s="1" t="s">
        <v>32</v>
      </c>
      <c r="B22" s="1">
        <f t="shared" ref="B22:B25" si="7">(1/$B$6)*$B9</f>
        <v>4.4999999999999999E-4</v>
      </c>
      <c r="C22" s="1" t="s">
        <v>43</v>
      </c>
      <c r="D22" s="14">
        <f t="shared" ref="D22:D25" si="8">B22*1000</f>
        <v>0.45</v>
      </c>
      <c r="E22" s="12" t="s">
        <v>44</v>
      </c>
      <c r="F22" s="1">
        <f>D22/2</f>
        <v>0.22500000000000001</v>
      </c>
      <c r="G22" s="15">
        <f>D22*$H$14</f>
        <v>16.2</v>
      </c>
      <c r="H22" s="16" t="s">
        <v>12</v>
      </c>
    </row>
    <row r="23" spans="1:12" ht="15.75" customHeight="1" x14ac:dyDescent="0.25">
      <c r="A23" s="1" t="s">
        <v>35</v>
      </c>
      <c r="B23" s="1">
        <f t="shared" si="7"/>
        <v>1.3500000000000001E-3</v>
      </c>
      <c r="C23" s="1" t="s">
        <v>45</v>
      </c>
      <c r="D23" s="14">
        <f t="shared" si="8"/>
        <v>1.35</v>
      </c>
      <c r="E23" s="12" t="s">
        <v>44</v>
      </c>
      <c r="F23" s="1">
        <f t="shared" ref="F23:F24" si="9">D23/2</f>
        <v>0.67500000000000004</v>
      </c>
      <c r="G23" s="15">
        <f t="shared" ref="G23:G25" si="10">D23*$H$14</f>
        <v>48.6</v>
      </c>
      <c r="H23" s="16" t="s">
        <v>12</v>
      </c>
    </row>
    <row r="24" spans="1:12" ht="15.75" customHeight="1" x14ac:dyDescent="0.25">
      <c r="A24" s="1" t="s">
        <v>38</v>
      </c>
      <c r="B24" s="1">
        <f t="shared" si="7"/>
        <v>6.7500000000000004E-4</v>
      </c>
      <c r="C24" s="1" t="s">
        <v>46</v>
      </c>
      <c r="D24" s="14">
        <f t="shared" si="8"/>
        <v>0.67500000000000004</v>
      </c>
      <c r="E24" s="12" t="s">
        <v>44</v>
      </c>
      <c r="F24" s="1">
        <f t="shared" si="9"/>
        <v>0.33750000000000002</v>
      </c>
      <c r="G24" s="15">
        <f t="shared" si="10"/>
        <v>24.3</v>
      </c>
      <c r="H24" s="16" t="s">
        <v>12</v>
      </c>
    </row>
    <row r="25" spans="1:12" ht="15.75" customHeight="1" x14ac:dyDescent="0.25">
      <c r="A25" s="4" t="s">
        <v>59</v>
      </c>
      <c r="B25" s="1">
        <f t="shared" si="7"/>
        <v>6.7500000000000004E-2</v>
      </c>
      <c r="C25" s="4" t="s">
        <v>63</v>
      </c>
      <c r="D25" s="14">
        <f t="shared" si="8"/>
        <v>67.5</v>
      </c>
      <c r="E25" s="12" t="s">
        <v>44</v>
      </c>
      <c r="G25" s="15">
        <f t="shared" si="10"/>
        <v>2430</v>
      </c>
      <c r="H25" s="16" t="s">
        <v>12</v>
      </c>
      <c r="I25" s="16">
        <f>G25/1000</f>
        <v>2.4300000000000002</v>
      </c>
      <c r="J25" s="16" t="s">
        <v>7</v>
      </c>
    </row>
    <row r="26" spans="1:12" ht="15.75" customHeight="1" x14ac:dyDescent="0.25">
      <c r="D26" s="13"/>
      <c r="G26" s="13"/>
    </row>
    <row r="27" spans="1:12" ht="15.75" customHeight="1" x14ac:dyDescent="0.25">
      <c r="D27" s="13"/>
      <c r="G27" s="13"/>
    </row>
    <row r="28" spans="1:12" ht="15.75" customHeight="1" x14ac:dyDescent="0.25">
      <c r="A28" s="1" t="s">
        <v>48</v>
      </c>
      <c r="B28" s="1">
        <v>20</v>
      </c>
      <c r="C28" s="1" t="s">
        <v>49</v>
      </c>
      <c r="D28" s="13">
        <f t="shared" ref="D28:D29" si="11">B28*1000</f>
        <v>20000</v>
      </c>
      <c r="E28" s="1" t="s">
        <v>2</v>
      </c>
      <c r="G28" s="13"/>
      <c r="I28" s="4"/>
    </row>
    <row r="29" spans="1:12" ht="15.75" customHeight="1" x14ac:dyDescent="0.25">
      <c r="A29" s="7" t="s">
        <v>50</v>
      </c>
      <c r="B29" s="1">
        <f>($B$1/$D$3)*D28</f>
        <v>0.1</v>
      </c>
      <c r="C29" s="1" t="s">
        <v>2</v>
      </c>
      <c r="D29" s="19">
        <f t="shared" si="11"/>
        <v>100</v>
      </c>
      <c r="E29" s="12" t="s">
        <v>44</v>
      </c>
      <c r="G29" s="20">
        <f>D29*$H$14</f>
        <v>3600</v>
      </c>
      <c r="H29" s="4" t="s">
        <v>12</v>
      </c>
      <c r="I29" s="4">
        <f>G29/1000</f>
        <v>3.6</v>
      </c>
      <c r="J29" s="4" t="s">
        <v>7</v>
      </c>
    </row>
    <row r="30" spans="1:12" ht="15.75" customHeight="1" x14ac:dyDescent="0.25">
      <c r="G30" s="12"/>
      <c r="I30" s="16"/>
      <c r="J30" s="16"/>
    </row>
    <row r="31" spans="1:12" ht="15.75" customHeight="1" x14ac:dyDescent="0.25">
      <c r="G31" s="12"/>
    </row>
    <row r="32" spans="1:12" ht="15.75" customHeight="1" x14ac:dyDescent="0.25">
      <c r="G32" s="12"/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K14:L19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E42D-104C-4F1A-A4EC-249C50AE1EAE}">
  <sheetPr codeName="Sheet4"/>
  <dimension ref="A1:R1000"/>
  <sheetViews>
    <sheetView topLeftCell="A16" workbookViewId="0">
      <selection activeCell="D25" sqref="D25"/>
    </sheetView>
  </sheetViews>
  <sheetFormatPr defaultColWidth="12.625" defaultRowHeight="15" customHeight="1" x14ac:dyDescent="0.2"/>
  <cols>
    <col min="1" max="1" width="22" style="31" customWidth="1"/>
    <col min="2" max="2" width="9.25" style="31" customWidth="1"/>
    <col min="3" max="3" width="10.625" style="31" customWidth="1"/>
    <col min="4" max="4" width="11.125" style="31" customWidth="1"/>
    <col min="5" max="7" width="7.625" style="31" customWidth="1"/>
    <col min="8" max="8" width="5.125" style="31" customWidth="1"/>
    <col min="9" max="26" width="7.625" style="31" customWidth="1"/>
    <col min="27" max="16384" width="12.625" style="31"/>
  </cols>
  <sheetData>
    <row r="1" spans="1:18" x14ac:dyDescent="0.25">
      <c r="A1" s="1" t="s">
        <v>6</v>
      </c>
      <c r="B1" s="1">
        <v>10</v>
      </c>
      <c r="C1" s="1" t="s">
        <v>7</v>
      </c>
    </row>
    <row r="2" spans="1:18" x14ac:dyDescent="0.25">
      <c r="A2" s="1" t="s">
        <v>9</v>
      </c>
      <c r="B2" s="1">
        <v>20</v>
      </c>
      <c r="C2" s="1" t="s">
        <v>18</v>
      </c>
      <c r="D2" s="1">
        <f>B2/100</f>
        <v>0.2</v>
      </c>
      <c r="E2" s="1" t="s">
        <v>10</v>
      </c>
      <c r="I2" s="2" t="s">
        <v>51</v>
      </c>
    </row>
    <row r="3" spans="1:18" x14ac:dyDescent="0.25">
      <c r="A3" s="1" t="s">
        <v>13</v>
      </c>
      <c r="B3" s="1">
        <f>D2*10000</f>
        <v>2000</v>
      </c>
      <c r="C3" s="1" t="s">
        <v>14</v>
      </c>
      <c r="D3" s="8">
        <f>B3*1000</f>
        <v>2000000</v>
      </c>
      <c r="E3" s="1" t="s">
        <v>7</v>
      </c>
      <c r="I3" s="1">
        <f>500/B6</f>
        <v>4.4999999999999997E-3</v>
      </c>
      <c r="J3" s="2" t="s">
        <v>52</v>
      </c>
      <c r="K3" s="1">
        <f>I3*(H14+12)</f>
        <v>0.21599999999999997</v>
      </c>
      <c r="L3" s="2" t="s">
        <v>52</v>
      </c>
      <c r="M3" s="1">
        <f>1.5*0.216</f>
        <v>0.32400000000000001</v>
      </c>
      <c r="N3" s="2" t="s">
        <v>12</v>
      </c>
    </row>
    <row r="4" spans="1:18" x14ac:dyDescent="0.25">
      <c r="A4" s="1" t="s">
        <v>17</v>
      </c>
      <c r="B4" s="1">
        <v>30</v>
      </c>
      <c r="C4" s="1" t="s">
        <v>18</v>
      </c>
      <c r="D4" s="1">
        <f>(B4*B5)/10000</f>
        <v>0.09</v>
      </c>
      <c r="E4" s="1" t="s">
        <v>19</v>
      </c>
    </row>
    <row r="5" spans="1:18" x14ac:dyDescent="0.25">
      <c r="B5" s="1">
        <v>30</v>
      </c>
      <c r="C5" s="1" t="s">
        <v>18</v>
      </c>
    </row>
    <row r="6" spans="1:18" x14ac:dyDescent="0.25">
      <c r="A6" s="1" t="s">
        <v>23</v>
      </c>
      <c r="B6" s="6">
        <f>10000/D4</f>
        <v>111111.11111111111</v>
      </c>
      <c r="C6" s="1" t="s">
        <v>24</v>
      </c>
    </row>
    <row r="8" spans="1:18" x14ac:dyDescent="0.25">
      <c r="A8" s="1" t="s">
        <v>29</v>
      </c>
    </row>
    <row r="9" spans="1:18" x14ac:dyDescent="0.25">
      <c r="A9" s="1" t="s">
        <v>32</v>
      </c>
      <c r="B9" s="1">
        <v>50</v>
      </c>
      <c r="C9" s="1" t="s">
        <v>33</v>
      </c>
      <c r="E9" s="4" t="s">
        <v>53</v>
      </c>
      <c r="F9" s="1">
        <v>46</v>
      </c>
      <c r="G9" s="4" t="s">
        <v>16</v>
      </c>
      <c r="I9" s="1">
        <f t="shared" ref="I9:I11" si="0">(F9/100)*B9</f>
        <v>23</v>
      </c>
      <c r="J9" s="4" t="s">
        <v>54</v>
      </c>
    </row>
    <row r="10" spans="1:18" x14ac:dyDescent="0.25">
      <c r="A10" s="1" t="s">
        <v>35</v>
      </c>
      <c r="B10" s="1">
        <v>150</v>
      </c>
      <c r="C10" s="1" t="s">
        <v>36</v>
      </c>
      <c r="E10" s="4" t="s">
        <v>55</v>
      </c>
      <c r="F10" s="1">
        <v>36</v>
      </c>
      <c r="G10" s="4" t="s">
        <v>16</v>
      </c>
      <c r="I10" s="1">
        <f t="shared" si="0"/>
        <v>54</v>
      </c>
      <c r="J10" s="4" t="s">
        <v>56</v>
      </c>
      <c r="M10" s="1">
        <f>(1/B6)*(100/14)*I10</f>
        <v>3.4714285714285715E-3</v>
      </c>
      <c r="O10" s="29">
        <f>M10*1000</f>
        <v>3.4714285714285715</v>
      </c>
      <c r="Q10" s="28">
        <f t="shared" ref="Q10:Q11" si="1">O10/2</f>
        <v>1.7357142857142858</v>
      </c>
    </row>
    <row r="11" spans="1:18" x14ac:dyDescent="0.25">
      <c r="A11" s="1" t="s">
        <v>38</v>
      </c>
      <c r="B11" s="1">
        <v>75</v>
      </c>
      <c r="C11" s="1" t="s">
        <v>39</v>
      </c>
      <c r="E11" s="4" t="s">
        <v>57</v>
      </c>
      <c r="F11" s="1">
        <v>60</v>
      </c>
      <c r="G11" s="4" t="s">
        <v>16</v>
      </c>
      <c r="I11" s="9">
        <f t="shared" si="0"/>
        <v>45</v>
      </c>
      <c r="J11" s="4" t="s">
        <v>58</v>
      </c>
      <c r="M11" s="1">
        <f>(1/B6)*(100/50)*I11</f>
        <v>8.1000000000000006E-4</v>
      </c>
      <c r="N11" s="4" t="s">
        <v>7</v>
      </c>
      <c r="O11" s="1">
        <f t="shared" ref="O11" si="2">M11*1000</f>
        <v>0.81</v>
      </c>
      <c r="P11" s="4" t="s">
        <v>12</v>
      </c>
      <c r="Q11" s="1">
        <f t="shared" si="1"/>
        <v>0.40500000000000003</v>
      </c>
      <c r="R11" s="4" t="s">
        <v>12</v>
      </c>
    </row>
    <row r="12" spans="1:18" x14ac:dyDescent="0.25">
      <c r="A12" s="4" t="s">
        <v>59</v>
      </c>
      <c r="B12" s="1">
        <v>7500</v>
      </c>
      <c r="C12" s="4" t="s">
        <v>2</v>
      </c>
    </row>
    <row r="14" spans="1:18" x14ac:dyDescent="0.25">
      <c r="D14" s="10" t="s">
        <v>3</v>
      </c>
      <c r="G14" s="11" t="s">
        <v>60</v>
      </c>
      <c r="H14" s="12">
        <v>36</v>
      </c>
      <c r="I14" s="12" t="s">
        <v>61</v>
      </c>
      <c r="K14" s="72" t="s">
        <v>62</v>
      </c>
      <c r="L14" s="73"/>
      <c r="O14" s="1">
        <f>H14*O10</f>
        <v>124.97142857142858</v>
      </c>
      <c r="P14" s="4" t="s">
        <v>12</v>
      </c>
    </row>
    <row r="15" spans="1:18" x14ac:dyDescent="0.25">
      <c r="A15" s="1" t="s">
        <v>42</v>
      </c>
      <c r="D15" s="13"/>
      <c r="G15" s="13"/>
      <c r="K15" s="73"/>
      <c r="L15" s="73"/>
      <c r="O15" s="1">
        <f>H14*O11</f>
        <v>29.160000000000004</v>
      </c>
      <c r="P15" s="4" t="s">
        <v>12</v>
      </c>
    </row>
    <row r="16" spans="1:18" x14ac:dyDescent="0.25">
      <c r="A16" s="1" t="s">
        <v>32</v>
      </c>
      <c r="B16" s="1">
        <f t="shared" ref="B16:B19" si="3">($B$1/$D$3)*B9</f>
        <v>2.5000000000000001E-4</v>
      </c>
      <c r="C16" s="1" t="s">
        <v>43</v>
      </c>
      <c r="D16" s="14">
        <f t="shared" ref="D16:D19" si="4">B16*1000</f>
        <v>0.25</v>
      </c>
      <c r="E16" s="12" t="s">
        <v>44</v>
      </c>
      <c r="F16" s="1">
        <f t="shared" ref="F16:F18" si="5">D16/2</f>
        <v>0.125</v>
      </c>
      <c r="G16" s="15">
        <f t="shared" ref="G16:G18" si="6">D16*$H$14</f>
        <v>9</v>
      </c>
      <c r="H16" s="16" t="s">
        <v>12</v>
      </c>
      <c r="K16" s="73"/>
      <c r="L16" s="73"/>
    </row>
    <row r="17" spans="1:12" x14ac:dyDescent="0.25">
      <c r="A17" s="1" t="s">
        <v>35</v>
      </c>
      <c r="B17" s="1">
        <f t="shared" si="3"/>
        <v>7.5000000000000002E-4</v>
      </c>
      <c r="C17" s="1" t="s">
        <v>45</v>
      </c>
      <c r="D17" s="14">
        <f t="shared" si="4"/>
        <v>0.75</v>
      </c>
      <c r="E17" s="12" t="s">
        <v>44</v>
      </c>
      <c r="F17" s="1">
        <f t="shared" si="5"/>
        <v>0.375</v>
      </c>
      <c r="G17" s="15">
        <f t="shared" si="6"/>
        <v>27</v>
      </c>
      <c r="H17" s="16" t="s">
        <v>12</v>
      </c>
      <c r="K17" s="73"/>
      <c r="L17" s="73"/>
    </row>
    <row r="18" spans="1:12" x14ac:dyDescent="0.25">
      <c r="A18" s="1" t="s">
        <v>38</v>
      </c>
      <c r="B18" s="1">
        <f t="shared" si="3"/>
        <v>3.7500000000000001E-4</v>
      </c>
      <c r="C18" s="1" t="s">
        <v>46</v>
      </c>
      <c r="D18" s="14">
        <f t="shared" si="4"/>
        <v>0.375</v>
      </c>
      <c r="E18" s="12" t="s">
        <v>44</v>
      </c>
      <c r="F18" s="1">
        <f t="shared" si="5"/>
        <v>0.1875</v>
      </c>
      <c r="G18" s="15">
        <f t="shared" si="6"/>
        <v>13.5</v>
      </c>
      <c r="H18" s="16" t="s">
        <v>12</v>
      </c>
      <c r="K18" s="73"/>
      <c r="L18" s="73"/>
    </row>
    <row r="19" spans="1:12" x14ac:dyDescent="0.25">
      <c r="A19" s="4" t="s">
        <v>59</v>
      </c>
      <c r="B19" s="1">
        <f t="shared" si="3"/>
        <v>3.7500000000000006E-2</v>
      </c>
      <c r="C19" s="4" t="s">
        <v>63</v>
      </c>
      <c r="D19" s="14">
        <f t="shared" si="4"/>
        <v>37.500000000000007</v>
      </c>
      <c r="E19" s="12" t="s">
        <v>44</v>
      </c>
      <c r="G19" s="17">
        <f>D19*H14</f>
        <v>1350.0000000000002</v>
      </c>
      <c r="H19" s="18" t="s">
        <v>12</v>
      </c>
      <c r="I19" s="16">
        <f>G19/1000</f>
        <v>1.3500000000000003</v>
      </c>
      <c r="J19" s="16" t="s">
        <v>7</v>
      </c>
      <c r="K19" s="73"/>
      <c r="L19" s="73"/>
    </row>
    <row r="20" spans="1:12" x14ac:dyDescent="0.25">
      <c r="D20" s="13"/>
      <c r="G20" s="17"/>
      <c r="H20" s="18"/>
    </row>
    <row r="21" spans="1:12" ht="15.75" customHeight="1" x14ac:dyDescent="0.25">
      <c r="A21" s="1" t="s">
        <v>47</v>
      </c>
      <c r="D21" s="13"/>
      <c r="G21" s="17"/>
      <c r="H21" s="18"/>
    </row>
    <row r="22" spans="1:12" ht="15.75" customHeight="1" x14ac:dyDescent="0.25">
      <c r="A22" s="1" t="s">
        <v>32</v>
      </c>
      <c r="B22" s="1">
        <f t="shared" ref="B22:B25" si="7">(1/$B$6)*$B9</f>
        <v>4.4999999999999999E-4</v>
      </c>
      <c r="C22" s="1" t="s">
        <v>43</v>
      </c>
      <c r="D22" s="14">
        <f t="shared" ref="D22:D25" si="8">B22*1000</f>
        <v>0.45</v>
      </c>
      <c r="E22" s="12" t="s">
        <v>44</v>
      </c>
      <c r="F22" s="1">
        <f t="shared" ref="F22:F24" si="9">D22/2</f>
        <v>0.22500000000000001</v>
      </c>
      <c r="G22" s="15">
        <f t="shared" ref="G22:G25" si="10">D22*$H$14</f>
        <v>16.2</v>
      </c>
      <c r="H22" s="16" t="s">
        <v>12</v>
      </c>
    </row>
    <row r="23" spans="1:12" ht="15.75" customHeight="1" x14ac:dyDescent="0.25">
      <c r="A23" s="1" t="s">
        <v>35</v>
      </c>
      <c r="B23" s="1">
        <f t="shared" si="7"/>
        <v>1.3500000000000001E-3</v>
      </c>
      <c r="C23" s="1" t="s">
        <v>45</v>
      </c>
      <c r="D23" s="14">
        <f t="shared" si="8"/>
        <v>1.35</v>
      </c>
      <c r="E23" s="12" t="s">
        <v>44</v>
      </c>
      <c r="F23" s="1">
        <f t="shared" si="9"/>
        <v>0.67500000000000004</v>
      </c>
      <c r="G23" s="15">
        <f t="shared" si="10"/>
        <v>48.6</v>
      </c>
      <c r="H23" s="16" t="s">
        <v>12</v>
      </c>
    </row>
    <row r="24" spans="1:12" ht="15.75" customHeight="1" x14ac:dyDescent="0.25">
      <c r="A24" s="1" t="s">
        <v>38</v>
      </c>
      <c r="B24" s="1">
        <f t="shared" si="7"/>
        <v>6.7500000000000004E-4</v>
      </c>
      <c r="C24" s="1" t="s">
        <v>46</v>
      </c>
      <c r="D24" s="14">
        <f t="shared" si="8"/>
        <v>0.67500000000000004</v>
      </c>
      <c r="E24" s="12" t="s">
        <v>44</v>
      </c>
      <c r="F24" s="1">
        <f t="shared" si="9"/>
        <v>0.33750000000000002</v>
      </c>
      <c r="G24" s="15">
        <f t="shared" si="10"/>
        <v>24.3</v>
      </c>
      <c r="H24" s="16" t="s">
        <v>12</v>
      </c>
    </row>
    <row r="25" spans="1:12" ht="15.75" customHeight="1" x14ac:dyDescent="0.25">
      <c r="A25" s="4" t="s">
        <v>59</v>
      </c>
      <c r="B25" s="1">
        <f t="shared" si="7"/>
        <v>6.7500000000000004E-2</v>
      </c>
      <c r="C25" s="4" t="s">
        <v>63</v>
      </c>
      <c r="D25" s="14">
        <f t="shared" si="8"/>
        <v>67.5</v>
      </c>
      <c r="E25" s="12" t="s">
        <v>44</v>
      </c>
      <c r="G25" s="15">
        <f t="shared" si="10"/>
        <v>2430</v>
      </c>
      <c r="H25" s="16" t="s">
        <v>12</v>
      </c>
      <c r="I25" s="16">
        <f>G25/1000</f>
        <v>2.4300000000000002</v>
      </c>
      <c r="J25" s="16" t="s">
        <v>7</v>
      </c>
    </row>
    <row r="26" spans="1:12" ht="15.75" customHeight="1" x14ac:dyDescent="0.25">
      <c r="D26" s="13"/>
      <c r="G26" s="13"/>
    </row>
    <row r="27" spans="1:12" ht="15.75" customHeight="1" x14ac:dyDescent="0.25">
      <c r="D27" s="13"/>
      <c r="G27" s="13"/>
    </row>
    <row r="28" spans="1:12" ht="15.75" customHeight="1" x14ac:dyDescent="0.25">
      <c r="A28" s="1" t="s">
        <v>48</v>
      </c>
      <c r="B28" s="1">
        <v>20</v>
      </c>
      <c r="C28" s="1" t="s">
        <v>49</v>
      </c>
      <c r="D28" s="13">
        <f t="shared" ref="D28:D29" si="11">B28*1000</f>
        <v>20000</v>
      </c>
      <c r="E28" s="1" t="s">
        <v>2</v>
      </c>
      <c r="G28" s="13"/>
      <c r="I28" s="4"/>
    </row>
    <row r="29" spans="1:12" ht="15.75" customHeight="1" x14ac:dyDescent="0.25">
      <c r="A29" s="7" t="s">
        <v>50</v>
      </c>
      <c r="B29" s="1">
        <f>($B$1/$D$3)*D28</f>
        <v>0.1</v>
      </c>
      <c r="C29" s="1" t="s">
        <v>2</v>
      </c>
      <c r="D29" s="19">
        <f t="shared" si="11"/>
        <v>100</v>
      </c>
      <c r="E29" s="12" t="s">
        <v>44</v>
      </c>
      <c r="G29" s="20">
        <f>D29*$H$14</f>
        <v>3600</v>
      </c>
      <c r="H29" s="4" t="s">
        <v>12</v>
      </c>
      <c r="I29" s="4">
        <f>G29/1000</f>
        <v>3.6</v>
      </c>
      <c r="J29" s="4" t="s">
        <v>7</v>
      </c>
    </row>
    <row r="30" spans="1:12" ht="15.75" customHeight="1" x14ac:dyDescent="0.25">
      <c r="G30" s="12"/>
      <c r="I30" s="16"/>
      <c r="J30" s="16"/>
    </row>
    <row r="31" spans="1:12" ht="15.75" customHeight="1" x14ac:dyDescent="0.25">
      <c r="G31" s="12"/>
    </row>
    <row r="32" spans="1:12" ht="15.75" customHeight="1" x14ac:dyDescent="0.25">
      <c r="G32" s="12"/>
    </row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K14:L19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outlinePr summaryBelow="0" summaryRight="0"/>
  </sheetPr>
  <dimension ref="A3:C6"/>
  <sheetViews>
    <sheetView workbookViewId="0">
      <selection activeCell="C9" sqref="C9"/>
    </sheetView>
  </sheetViews>
  <sheetFormatPr defaultColWidth="12.625" defaultRowHeight="15" customHeight="1" x14ac:dyDescent="0.2"/>
  <sheetData>
    <row r="3" spans="1:3" x14ac:dyDescent="0.25">
      <c r="A3" s="2" t="s">
        <v>0</v>
      </c>
    </row>
    <row r="4" spans="1:3" x14ac:dyDescent="0.25">
      <c r="A4" s="2" t="s">
        <v>1</v>
      </c>
      <c r="B4" s="3">
        <v>15</v>
      </c>
      <c r="C4" s="2" t="s">
        <v>2</v>
      </c>
    </row>
    <row r="5" spans="1:3" x14ac:dyDescent="0.25">
      <c r="A5" s="2" t="s">
        <v>3</v>
      </c>
      <c r="B5" s="1">
        <f>B4/'Perhitungan Pupuk-Bioch Fix'!B6</f>
        <v>1.35E-4</v>
      </c>
      <c r="C5" s="2" t="s">
        <v>4</v>
      </c>
    </row>
    <row r="6" spans="1:3" x14ac:dyDescent="0.25">
      <c r="B6" s="1">
        <f>B5*1000</f>
        <v>0.13500000000000001</v>
      </c>
      <c r="C6" s="2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O1000"/>
  <sheetViews>
    <sheetView workbookViewId="0">
      <selection activeCell="B18" sqref="B18"/>
    </sheetView>
  </sheetViews>
  <sheetFormatPr defaultColWidth="12.625" defaultRowHeight="15" customHeight="1" x14ac:dyDescent="0.2"/>
  <cols>
    <col min="1" max="1" width="21.875" customWidth="1"/>
    <col min="2" max="2" width="9.625" customWidth="1"/>
    <col min="3" max="3" width="9.875" customWidth="1"/>
    <col min="4" max="6" width="7.875" customWidth="1"/>
    <col min="7" max="7" width="21.25" customWidth="1"/>
    <col min="8" max="8" width="11.25" customWidth="1"/>
    <col min="9" max="9" width="7.875" customWidth="1"/>
    <col min="10" max="10" width="11.25" customWidth="1"/>
    <col min="11" max="26" width="7.875" customWidth="1"/>
  </cols>
  <sheetData>
    <row r="1" spans="1:15" x14ac:dyDescent="0.25">
      <c r="A1" s="1" t="s">
        <v>6</v>
      </c>
      <c r="B1" s="1">
        <v>15</v>
      </c>
      <c r="C1" s="1" t="s">
        <v>7</v>
      </c>
      <c r="G1" s="1" t="s">
        <v>8</v>
      </c>
    </row>
    <row r="2" spans="1:15" x14ac:dyDescent="0.25">
      <c r="A2" s="1" t="s">
        <v>9</v>
      </c>
      <c r="B2" s="1">
        <v>0.25</v>
      </c>
      <c r="C2" s="1" t="s">
        <v>10</v>
      </c>
      <c r="G2" s="1" t="s">
        <v>11</v>
      </c>
      <c r="H2" s="1">
        <f>B1</f>
        <v>15</v>
      </c>
      <c r="I2" s="1" t="s">
        <v>7</v>
      </c>
      <c r="J2" s="1">
        <f>H2*1000</f>
        <v>15000</v>
      </c>
      <c r="K2" s="1" t="s">
        <v>12</v>
      </c>
    </row>
    <row r="3" spans="1:15" x14ac:dyDescent="0.25">
      <c r="A3" s="1" t="s">
        <v>13</v>
      </c>
      <c r="B3" s="1">
        <f>B2*10000</f>
        <v>2500</v>
      </c>
      <c r="C3" s="1" t="s">
        <v>14</v>
      </c>
      <c r="D3" s="1">
        <f>B3*1000</f>
        <v>2500000</v>
      </c>
      <c r="E3" s="1" t="s">
        <v>7</v>
      </c>
      <c r="G3" s="1" t="s">
        <v>15</v>
      </c>
      <c r="H3" s="4">
        <v>34.32</v>
      </c>
      <c r="I3" s="1" t="s">
        <v>16</v>
      </c>
    </row>
    <row r="4" spans="1:15" x14ac:dyDescent="0.25">
      <c r="A4" s="1" t="s">
        <v>17</v>
      </c>
      <c r="B4" s="1">
        <v>30</v>
      </c>
      <c r="C4" s="1" t="s">
        <v>18</v>
      </c>
      <c r="D4" s="1">
        <f>(B4*B5)/10000</f>
        <v>0.09</v>
      </c>
      <c r="E4" s="1" t="s">
        <v>19</v>
      </c>
      <c r="G4" s="1" t="s">
        <v>20</v>
      </c>
      <c r="H4" s="1">
        <f>(H3/100)*J2</f>
        <v>5148</v>
      </c>
      <c r="I4" s="1" t="s">
        <v>12</v>
      </c>
      <c r="J4" s="1" t="s">
        <v>21</v>
      </c>
      <c r="K4" s="5">
        <f>H4+J2</f>
        <v>20148</v>
      </c>
      <c r="L4" s="1" t="s">
        <v>12</v>
      </c>
    </row>
    <row r="5" spans="1:15" x14ac:dyDescent="0.25">
      <c r="B5" s="1">
        <v>30</v>
      </c>
      <c r="C5" s="1" t="s">
        <v>18</v>
      </c>
      <c r="G5" s="1" t="s">
        <v>22</v>
      </c>
      <c r="H5" s="1">
        <v>3</v>
      </c>
      <c r="I5" s="1" t="s">
        <v>18</v>
      </c>
    </row>
    <row r="6" spans="1:15" x14ac:dyDescent="0.25">
      <c r="A6" s="1" t="s">
        <v>23</v>
      </c>
      <c r="B6" s="6">
        <f>10000/D4</f>
        <v>111111.11111111111</v>
      </c>
      <c r="C6" s="1" t="s">
        <v>24</v>
      </c>
      <c r="G6" s="1" t="s">
        <v>25</v>
      </c>
      <c r="H6" s="1">
        <v>30</v>
      </c>
      <c r="I6" s="1" t="s">
        <v>18</v>
      </c>
      <c r="J6" s="1" t="s">
        <v>26</v>
      </c>
      <c r="K6" s="1">
        <v>28</v>
      </c>
      <c r="L6" s="1" t="s">
        <v>18</v>
      </c>
      <c r="M6" s="1" t="s">
        <v>27</v>
      </c>
      <c r="N6" s="1">
        <f>K6/2</f>
        <v>14</v>
      </c>
      <c r="O6" s="1" t="s">
        <v>18</v>
      </c>
    </row>
    <row r="7" spans="1:15" x14ac:dyDescent="0.25">
      <c r="G7" s="1" t="s">
        <v>28</v>
      </c>
      <c r="H7" s="1">
        <f>H6-H5</f>
        <v>27</v>
      </c>
      <c r="I7" s="1" t="s">
        <v>18</v>
      </c>
    </row>
    <row r="8" spans="1:15" x14ac:dyDescent="0.25">
      <c r="A8" s="1" t="s">
        <v>29</v>
      </c>
      <c r="G8" s="1" t="s">
        <v>30</v>
      </c>
      <c r="H8" s="1">
        <f>(22/7)*N6^2</f>
        <v>616</v>
      </c>
      <c r="I8" s="1" t="s">
        <v>31</v>
      </c>
    </row>
    <row r="9" spans="1:15" x14ac:dyDescent="0.25">
      <c r="A9" s="1" t="s">
        <v>32</v>
      </c>
      <c r="B9" s="1">
        <v>50</v>
      </c>
      <c r="C9" s="1" t="s">
        <v>33</v>
      </c>
      <c r="G9" s="1" t="s">
        <v>34</v>
      </c>
    </row>
    <row r="10" spans="1:15" x14ac:dyDescent="0.25">
      <c r="A10" s="1" t="s">
        <v>35</v>
      </c>
      <c r="B10" s="1">
        <v>150</v>
      </c>
      <c r="C10" s="1" t="s">
        <v>36</v>
      </c>
      <c r="G10" s="1" t="s">
        <v>37</v>
      </c>
      <c r="H10" s="1">
        <f>(7.7/10)*H8</f>
        <v>474.32</v>
      </c>
      <c r="I10" s="1" t="s">
        <v>31</v>
      </c>
    </row>
    <row r="11" spans="1:15" x14ac:dyDescent="0.25">
      <c r="A11" s="1" t="s">
        <v>38</v>
      </c>
      <c r="B11" s="1">
        <v>75</v>
      </c>
      <c r="C11" s="1" t="s">
        <v>39</v>
      </c>
      <c r="G11" s="1" t="s">
        <v>40</v>
      </c>
      <c r="H11" s="1">
        <f>((H8+H10)/2)*H7</f>
        <v>14719.32</v>
      </c>
      <c r="I11" s="1" t="s">
        <v>41</v>
      </c>
      <c r="J11" s="1">
        <f>H11/1000</f>
        <v>14.71932</v>
      </c>
      <c r="K11" s="1" t="s">
        <v>7</v>
      </c>
    </row>
    <row r="13" spans="1:15" x14ac:dyDescent="0.25">
      <c r="A13" s="1" t="s">
        <v>42</v>
      </c>
    </row>
    <row r="14" spans="1:15" x14ac:dyDescent="0.25">
      <c r="A14" s="1" t="s">
        <v>32</v>
      </c>
      <c r="B14" s="1">
        <f t="shared" ref="B14:B16" si="0">($B$1/$D$3)*B9</f>
        <v>3.0000000000000003E-4</v>
      </c>
      <c r="C14" s="1" t="s">
        <v>43</v>
      </c>
      <c r="D14" s="1">
        <f t="shared" ref="D14:D16" si="1">B14*1000</f>
        <v>0.30000000000000004</v>
      </c>
      <c r="E14" s="1" t="s">
        <v>44</v>
      </c>
    </row>
    <row r="15" spans="1:15" x14ac:dyDescent="0.25">
      <c r="A15" s="1" t="s">
        <v>35</v>
      </c>
      <c r="B15" s="1">
        <f t="shared" si="0"/>
        <v>8.9999999999999998E-4</v>
      </c>
      <c r="C15" s="1" t="s">
        <v>45</v>
      </c>
      <c r="D15" s="1">
        <f t="shared" si="1"/>
        <v>0.9</v>
      </c>
      <c r="E15" s="1" t="s">
        <v>44</v>
      </c>
    </row>
    <row r="16" spans="1:15" x14ac:dyDescent="0.25">
      <c r="A16" s="1" t="s">
        <v>38</v>
      </c>
      <c r="B16" s="1">
        <f t="shared" si="0"/>
        <v>4.4999999999999999E-4</v>
      </c>
      <c r="C16" s="1" t="s">
        <v>46</v>
      </c>
      <c r="D16" s="1">
        <f t="shared" si="1"/>
        <v>0.45</v>
      </c>
      <c r="E16" s="1" t="s">
        <v>44</v>
      </c>
    </row>
    <row r="18" spans="1:5" x14ac:dyDescent="0.25">
      <c r="A18" s="1" t="s">
        <v>47</v>
      </c>
    </row>
    <row r="19" spans="1:5" x14ac:dyDescent="0.25">
      <c r="A19" s="1" t="s">
        <v>32</v>
      </c>
      <c r="B19" s="1">
        <f t="shared" ref="B19:B21" si="2">(2/$B$6)*$B9</f>
        <v>8.9999999999999998E-4</v>
      </c>
      <c r="C19" s="1" t="s">
        <v>43</v>
      </c>
      <c r="D19" s="1">
        <f t="shared" ref="D19:D21" si="3">B19*1000</f>
        <v>0.9</v>
      </c>
      <c r="E19" s="1" t="s">
        <v>44</v>
      </c>
    </row>
    <row r="20" spans="1:5" x14ac:dyDescent="0.25">
      <c r="A20" s="1" t="s">
        <v>35</v>
      </c>
      <c r="B20" s="1">
        <f t="shared" si="2"/>
        <v>2.7000000000000001E-3</v>
      </c>
      <c r="C20" s="1" t="s">
        <v>45</v>
      </c>
      <c r="D20" s="1">
        <f t="shared" si="3"/>
        <v>2.7</v>
      </c>
      <c r="E20" s="1" t="s">
        <v>44</v>
      </c>
    </row>
    <row r="21" spans="1:5" ht="15.75" customHeight="1" x14ac:dyDescent="0.25">
      <c r="A21" s="1" t="s">
        <v>38</v>
      </c>
      <c r="B21" s="1">
        <f t="shared" si="2"/>
        <v>1.3500000000000001E-3</v>
      </c>
      <c r="C21" s="1" t="s">
        <v>46</v>
      </c>
      <c r="D21" s="1">
        <f t="shared" si="3"/>
        <v>1.35</v>
      </c>
      <c r="E21" s="1" t="s">
        <v>44</v>
      </c>
    </row>
    <row r="22" spans="1:5" ht="15.75" customHeight="1" x14ac:dyDescent="0.2"/>
    <row r="23" spans="1:5" ht="15.75" customHeight="1" x14ac:dyDescent="0.25">
      <c r="A23" s="1" t="s">
        <v>48</v>
      </c>
      <c r="B23" s="1">
        <v>20</v>
      </c>
      <c r="C23" s="1" t="s">
        <v>49</v>
      </c>
      <c r="D23" s="1">
        <f t="shared" ref="D23:D24" si="4">B23*1000</f>
        <v>20000</v>
      </c>
      <c r="E23" s="1" t="s">
        <v>2</v>
      </c>
    </row>
    <row r="24" spans="1:5" ht="15.75" customHeight="1" x14ac:dyDescent="0.25">
      <c r="A24" s="7" t="s">
        <v>50</v>
      </c>
      <c r="B24" s="1">
        <f>($B$1/$D$3)*D23</f>
        <v>0.12000000000000001</v>
      </c>
      <c r="C24" s="1" t="s">
        <v>2</v>
      </c>
      <c r="D24" s="1">
        <f t="shared" si="4"/>
        <v>120.00000000000001</v>
      </c>
      <c r="E24" s="1" t="s">
        <v>44</v>
      </c>
    </row>
    <row r="25" spans="1:5" ht="15.75" customHeight="1" x14ac:dyDescent="0.2"/>
    <row r="26" spans="1:5" ht="15.75" customHeight="1" x14ac:dyDescent="0.2"/>
    <row r="27" spans="1:5" ht="15.75" customHeight="1" x14ac:dyDescent="0.2"/>
    <row r="28" spans="1:5" ht="15.75" customHeight="1" x14ac:dyDescent="0.2"/>
    <row r="29" spans="1:5" ht="15.75" customHeight="1" x14ac:dyDescent="0.2"/>
    <row r="30" spans="1:5" ht="15.75" customHeight="1" x14ac:dyDescent="0.2"/>
    <row r="31" spans="1:5" ht="15.75" customHeight="1" x14ac:dyDescent="0.2"/>
    <row r="32" spans="1:5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1000"/>
  <sheetViews>
    <sheetView topLeftCell="A2" workbookViewId="0">
      <selection activeCell="B25" sqref="B25"/>
    </sheetView>
  </sheetViews>
  <sheetFormatPr defaultColWidth="12.625" defaultRowHeight="15" customHeight="1" x14ac:dyDescent="0.2"/>
  <cols>
    <col min="1" max="1" width="13" customWidth="1"/>
    <col min="2" max="2" width="21.375" customWidth="1"/>
    <col min="3" max="3" width="11.25" customWidth="1"/>
    <col min="4" max="4" width="7.875" customWidth="1"/>
    <col min="5" max="5" width="14.25" customWidth="1"/>
    <col min="6" max="26" width="7.875" customWidth="1"/>
  </cols>
  <sheetData>
    <row r="1" spans="1:11" x14ac:dyDescent="0.25">
      <c r="B1" s="1" t="s">
        <v>64</v>
      </c>
    </row>
    <row r="3" spans="1:11" x14ac:dyDescent="0.25">
      <c r="B3" s="1" t="s">
        <v>65</v>
      </c>
      <c r="C3" s="1">
        <f>'Perhitungan Pupuk-Bioch'!D24</f>
        <v>120.00000000000001</v>
      </c>
      <c r="D3" s="1" t="s">
        <v>44</v>
      </c>
      <c r="I3" s="1" t="s">
        <v>66</v>
      </c>
      <c r="J3" s="1">
        <v>22</v>
      </c>
      <c r="K3" s="1" t="s">
        <v>16</v>
      </c>
    </row>
    <row r="4" spans="1:11" x14ac:dyDescent="0.25">
      <c r="B4" s="1" t="s">
        <v>67</v>
      </c>
      <c r="C4" s="1">
        <v>3</v>
      </c>
      <c r="D4" s="1">
        <v>4</v>
      </c>
      <c r="E4" s="1">
        <v>3</v>
      </c>
      <c r="F4" s="1" t="s">
        <v>68</v>
      </c>
    </row>
    <row r="5" spans="1:11" x14ac:dyDescent="0.25">
      <c r="C5" s="1">
        <f>C4*D4*E4</f>
        <v>36</v>
      </c>
      <c r="D5" s="1" t="s">
        <v>69</v>
      </c>
    </row>
    <row r="6" spans="1:11" x14ac:dyDescent="0.25">
      <c r="A6" s="1" t="s">
        <v>70</v>
      </c>
      <c r="B6" s="1" t="s">
        <v>71</v>
      </c>
      <c r="C6" s="1">
        <f t="shared" ref="C6:C8" si="0">$C$3*9</f>
        <v>1080.0000000000002</v>
      </c>
      <c r="D6" s="1" t="s">
        <v>12</v>
      </c>
    </row>
    <row r="7" spans="1:11" x14ac:dyDescent="0.25">
      <c r="B7" s="1" t="s">
        <v>72</v>
      </c>
      <c r="C7" s="1">
        <f t="shared" si="0"/>
        <v>1080.0000000000002</v>
      </c>
      <c r="D7" s="1" t="s">
        <v>12</v>
      </c>
    </row>
    <row r="8" spans="1:11" x14ac:dyDescent="0.25">
      <c r="B8" s="1" t="s">
        <v>73</v>
      </c>
      <c r="C8" s="1">
        <f t="shared" si="0"/>
        <v>1080.0000000000002</v>
      </c>
      <c r="D8" s="1" t="s">
        <v>12</v>
      </c>
    </row>
    <row r="10" spans="1:11" x14ac:dyDescent="0.25">
      <c r="A10" s="1" t="s">
        <v>74</v>
      </c>
      <c r="B10" s="1" t="s">
        <v>71</v>
      </c>
      <c r="C10" s="1">
        <f t="shared" ref="C10:C12" si="1">100/$J$3*C6</f>
        <v>4909.0909090909108</v>
      </c>
      <c r="D10" s="1" t="s">
        <v>12</v>
      </c>
      <c r="E10" s="21">
        <f t="shared" ref="E10:E12" si="2">C10/1000</f>
        <v>4.9090909090909109</v>
      </c>
      <c r="F10" s="1" t="s">
        <v>7</v>
      </c>
    </row>
    <row r="11" spans="1:11" x14ac:dyDescent="0.25">
      <c r="B11" s="1" t="s">
        <v>72</v>
      </c>
      <c r="C11" s="1">
        <f t="shared" si="1"/>
        <v>4909.0909090909108</v>
      </c>
      <c r="D11" s="1" t="s">
        <v>12</v>
      </c>
      <c r="E11" s="21">
        <f t="shared" si="2"/>
        <v>4.9090909090909109</v>
      </c>
      <c r="F11" s="1" t="s">
        <v>7</v>
      </c>
    </row>
    <row r="12" spans="1:11" x14ac:dyDescent="0.25">
      <c r="B12" s="1" t="s">
        <v>73</v>
      </c>
      <c r="C12" s="1">
        <f t="shared" si="1"/>
        <v>4909.0909090909108</v>
      </c>
      <c r="D12" s="1" t="s">
        <v>12</v>
      </c>
      <c r="E12" s="21">
        <f t="shared" si="2"/>
        <v>4.9090909090909109</v>
      </c>
      <c r="F12" s="1" t="s">
        <v>7</v>
      </c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1:K1000"/>
  <sheetViews>
    <sheetView workbookViewId="0"/>
  </sheetViews>
  <sheetFormatPr defaultColWidth="12.625" defaultRowHeight="15" customHeight="1" x14ac:dyDescent="0.2"/>
  <cols>
    <col min="1" max="2" width="8" customWidth="1"/>
    <col min="3" max="3" width="50" customWidth="1"/>
    <col min="4" max="4" width="22.125" customWidth="1"/>
    <col min="5" max="5" width="12.125" customWidth="1"/>
    <col min="6" max="6" width="11.375" customWidth="1"/>
    <col min="7" max="7" width="8.5" customWidth="1"/>
    <col min="8" max="8" width="8" customWidth="1"/>
    <col min="9" max="9" width="16.875" customWidth="1"/>
    <col min="10" max="10" width="8" customWidth="1"/>
    <col min="11" max="11" width="8.5" customWidth="1"/>
    <col min="12" max="26" width="8" customWidth="1"/>
  </cols>
  <sheetData>
    <row r="1" spans="2:11" x14ac:dyDescent="0.25">
      <c r="H1" s="1" t="s">
        <v>75</v>
      </c>
    </row>
    <row r="2" spans="2:11" x14ac:dyDescent="0.25">
      <c r="H2" s="1" t="s">
        <v>61</v>
      </c>
      <c r="I2" s="1">
        <v>36</v>
      </c>
      <c r="J2" s="1" t="s">
        <v>76</v>
      </c>
    </row>
    <row r="3" spans="2:11" x14ac:dyDescent="0.25">
      <c r="H3" s="1" t="s">
        <v>77</v>
      </c>
      <c r="I3" s="1">
        <v>3</v>
      </c>
      <c r="J3" s="1" t="s">
        <v>78</v>
      </c>
    </row>
    <row r="5" spans="2:11" x14ac:dyDescent="0.25">
      <c r="B5" s="74" t="s">
        <v>79</v>
      </c>
      <c r="C5" s="74" t="s">
        <v>80</v>
      </c>
      <c r="D5" s="74" t="s">
        <v>81</v>
      </c>
      <c r="E5" s="73"/>
      <c r="F5" s="73"/>
      <c r="G5" s="74" t="s">
        <v>82</v>
      </c>
      <c r="I5" s="1" t="s">
        <v>83</v>
      </c>
    </row>
    <row r="6" spans="2:11" x14ac:dyDescent="0.25">
      <c r="B6" s="73"/>
      <c r="C6" s="73"/>
      <c r="D6" s="22" t="s">
        <v>84</v>
      </c>
      <c r="E6" s="22" t="s">
        <v>85</v>
      </c>
      <c r="F6" s="22" t="s">
        <v>86</v>
      </c>
      <c r="G6" s="73"/>
      <c r="I6" s="1" t="s">
        <v>87</v>
      </c>
      <c r="J6" s="1" t="s">
        <v>85</v>
      </c>
    </row>
    <row r="7" spans="2:11" x14ac:dyDescent="0.25">
      <c r="B7" s="1">
        <v>1</v>
      </c>
      <c r="C7" s="1" t="s">
        <v>88</v>
      </c>
      <c r="D7" s="1">
        <v>2</v>
      </c>
      <c r="E7" s="1" t="s">
        <v>89</v>
      </c>
      <c r="F7" s="6">
        <v>20000</v>
      </c>
      <c r="G7" s="6">
        <f t="shared" ref="G7:G11" si="0">D7*F7</f>
        <v>40000</v>
      </c>
      <c r="I7" s="1" t="s">
        <v>90</v>
      </c>
      <c r="J7" s="6">
        <v>17000</v>
      </c>
      <c r="K7" s="6">
        <f t="shared" ref="K7:K11" si="1">(1+$I$3)*J7</f>
        <v>68000</v>
      </c>
    </row>
    <row r="8" spans="2:11" x14ac:dyDescent="0.25">
      <c r="B8" s="1">
        <v>2</v>
      </c>
      <c r="C8" s="1" t="s">
        <v>91</v>
      </c>
      <c r="D8" s="1">
        <v>1</v>
      </c>
      <c r="E8" s="1" t="s">
        <v>92</v>
      </c>
      <c r="F8" s="6">
        <v>20000</v>
      </c>
      <c r="G8" s="6">
        <f t="shared" si="0"/>
        <v>20000</v>
      </c>
      <c r="I8" s="1" t="s">
        <v>93</v>
      </c>
      <c r="J8" s="6">
        <v>20000</v>
      </c>
      <c r="K8" s="6">
        <f t="shared" si="1"/>
        <v>80000</v>
      </c>
    </row>
    <row r="9" spans="2:11" x14ac:dyDescent="0.25">
      <c r="C9" s="1" t="s">
        <v>71</v>
      </c>
      <c r="D9" s="1">
        <v>3</v>
      </c>
      <c r="E9" s="1" t="s">
        <v>94</v>
      </c>
      <c r="F9" s="6">
        <v>10000</v>
      </c>
      <c r="G9" s="6">
        <f t="shared" si="0"/>
        <v>30000</v>
      </c>
      <c r="I9" s="1" t="s">
        <v>95</v>
      </c>
      <c r="J9" s="6">
        <v>20000</v>
      </c>
      <c r="K9" s="6">
        <f t="shared" si="1"/>
        <v>80000</v>
      </c>
    </row>
    <row r="10" spans="2:11" x14ac:dyDescent="0.25">
      <c r="B10" s="1">
        <v>4</v>
      </c>
      <c r="C10" s="1" t="s">
        <v>96</v>
      </c>
      <c r="D10" s="1">
        <v>10</v>
      </c>
      <c r="E10" s="1" t="s">
        <v>97</v>
      </c>
      <c r="F10" s="6">
        <v>10000</v>
      </c>
      <c r="G10" s="6">
        <f t="shared" si="0"/>
        <v>100000</v>
      </c>
      <c r="I10" s="1" t="s">
        <v>98</v>
      </c>
      <c r="J10" s="6">
        <v>0</v>
      </c>
      <c r="K10" s="6">
        <f t="shared" si="1"/>
        <v>0</v>
      </c>
    </row>
    <row r="11" spans="2:11" x14ac:dyDescent="0.25">
      <c r="B11" s="1">
        <v>5</v>
      </c>
      <c r="C11" s="1" t="s">
        <v>99</v>
      </c>
      <c r="D11" s="1">
        <v>1</v>
      </c>
      <c r="E11" s="1" t="s">
        <v>100</v>
      </c>
      <c r="F11" s="6">
        <v>20000</v>
      </c>
      <c r="G11" s="6">
        <f t="shared" si="0"/>
        <v>20000</v>
      </c>
      <c r="I11" s="1" t="s">
        <v>101</v>
      </c>
      <c r="J11" s="6">
        <v>20000</v>
      </c>
      <c r="K11" s="6">
        <f t="shared" si="1"/>
        <v>80000</v>
      </c>
    </row>
    <row r="12" spans="2:11" x14ac:dyDescent="0.25">
      <c r="B12" s="1">
        <v>6</v>
      </c>
      <c r="C12" s="1" t="s">
        <v>102</v>
      </c>
      <c r="F12" s="6"/>
      <c r="G12" s="6">
        <f>K12</f>
        <v>308000</v>
      </c>
      <c r="J12" s="6">
        <f t="shared" ref="J12:K12" si="2">SUM(J7:J11)</f>
        <v>77000</v>
      </c>
      <c r="K12" s="6">
        <f t="shared" si="2"/>
        <v>308000</v>
      </c>
    </row>
    <row r="13" spans="2:11" x14ac:dyDescent="0.25">
      <c r="B13" s="1">
        <v>7</v>
      </c>
      <c r="C13" s="1" t="s">
        <v>103</v>
      </c>
      <c r="D13" s="1">
        <v>300</v>
      </c>
      <c r="E13" s="1" t="s">
        <v>104</v>
      </c>
      <c r="F13" s="6">
        <v>250</v>
      </c>
      <c r="G13" s="6">
        <f>D13*F13</f>
        <v>75000</v>
      </c>
    </row>
    <row r="14" spans="2:11" x14ac:dyDescent="0.25">
      <c r="C14" s="12" t="s">
        <v>105</v>
      </c>
      <c r="D14" s="12"/>
      <c r="E14" s="12"/>
      <c r="F14" s="23"/>
      <c r="G14" s="23">
        <f>SUM(G7:G13)</f>
        <v>593000</v>
      </c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4">
    <mergeCell ref="B5:B6"/>
    <mergeCell ref="C5:C6"/>
    <mergeCell ref="D5:F5"/>
    <mergeCell ref="G5:G6"/>
  </mergeCells>
  <pageMargins left="0.75" right="0.75" top="1" bottom="1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O1000"/>
  <sheetViews>
    <sheetView workbookViewId="0"/>
  </sheetViews>
  <sheetFormatPr defaultColWidth="12.625" defaultRowHeight="15" customHeight="1" x14ac:dyDescent="0.2"/>
  <cols>
    <col min="1" max="1" width="9" customWidth="1"/>
    <col min="2" max="3" width="7.625" customWidth="1"/>
    <col min="4" max="4" width="9.625" customWidth="1"/>
    <col min="5" max="6" width="7.625" customWidth="1"/>
    <col min="7" max="7" width="8.75" customWidth="1"/>
    <col min="8" max="26" width="7.625" customWidth="1"/>
  </cols>
  <sheetData>
    <row r="1" spans="1:10" x14ac:dyDescent="0.25">
      <c r="A1" s="4" t="s">
        <v>106</v>
      </c>
    </row>
    <row r="2" spans="1:10" x14ac:dyDescent="0.25">
      <c r="A2" s="75" t="s">
        <v>107</v>
      </c>
      <c r="B2" s="77" t="s">
        <v>108</v>
      </c>
      <c r="C2" s="78"/>
      <c r="D2" s="78"/>
      <c r="E2" s="78"/>
      <c r="F2" s="78"/>
      <c r="G2" s="75" t="s">
        <v>109</v>
      </c>
      <c r="H2" s="79"/>
      <c r="I2" s="75" t="s">
        <v>110</v>
      </c>
      <c r="J2" s="24"/>
    </row>
    <row r="3" spans="1:10" x14ac:dyDescent="0.25">
      <c r="A3" s="76"/>
      <c r="B3" s="25" t="s">
        <v>111</v>
      </c>
      <c r="C3" s="25" t="s">
        <v>112</v>
      </c>
      <c r="D3" s="25" t="s">
        <v>113</v>
      </c>
      <c r="E3" s="25" t="s">
        <v>114</v>
      </c>
      <c r="F3" s="25" t="s">
        <v>115</v>
      </c>
      <c r="G3" s="76"/>
      <c r="H3" s="76"/>
      <c r="I3" s="76"/>
      <c r="J3" s="24"/>
    </row>
    <row r="4" spans="1:10" x14ac:dyDescent="0.25">
      <c r="A4" s="4" t="s">
        <v>116</v>
      </c>
      <c r="B4" s="4" t="s">
        <v>117</v>
      </c>
      <c r="C4" s="4" t="s">
        <v>117</v>
      </c>
      <c r="D4" s="1">
        <v>172</v>
      </c>
      <c r="E4" s="1">
        <v>56</v>
      </c>
      <c r="F4" s="4" t="s">
        <v>118</v>
      </c>
      <c r="G4" s="16">
        <f>D4*1/10^-4</f>
        <v>1720000</v>
      </c>
      <c r="H4" s="1">
        <f>E4*1/10^-5</f>
        <v>5600000</v>
      </c>
      <c r="I4" s="1">
        <f>H4/G4</f>
        <v>3.2558139534883721</v>
      </c>
      <c r="J4" s="4"/>
    </row>
    <row r="5" spans="1:10" x14ac:dyDescent="0.25">
      <c r="A5" s="26" t="s">
        <v>119</v>
      </c>
      <c r="B5" s="26" t="s">
        <v>117</v>
      </c>
      <c r="C5" s="26">
        <v>93</v>
      </c>
      <c r="D5" s="26">
        <v>0</v>
      </c>
      <c r="E5" s="26">
        <v>0</v>
      </c>
      <c r="F5" s="26"/>
      <c r="G5" s="27">
        <f>(C5*1/10^-3)/0.5</f>
        <v>186000</v>
      </c>
      <c r="H5" s="26"/>
      <c r="I5" s="26"/>
      <c r="J5" s="4"/>
    </row>
    <row r="8" spans="1:10" x14ac:dyDescent="0.25">
      <c r="A8" s="4" t="s">
        <v>120</v>
      </c>
    </row>
    <row r="9" spans="1:10" x14ac:dyDescent="0.25">
      <c r="A9" s="12"/>
    </row>
    <row r="10" spans="1:10" x14ac:dyDescent="0.25">
      <c r="E10" s="4" t="s">
        <v>121</v>
      </c>
    </row>
    <row r="13" spans="1:10" x14ac:dyDescent="0.25">
      <c r="E13" s="4" t="s">
        <v>122</v>
      </c>
    </row>
    <row r="16" spans="1:10" x14ac:dyDescent="0.25">
      <c r="A16" s="4" t="s">
        <v>123</v>
      </c>
      <c r="I16" s="4" t="s">
        <v>123</v>
      </c>
    </row>
    <row r="17" spans="1:15" x14ac:dyDescent="0.25">
      <c r="A17" s="4" t="s">
        <v>124</v>
      </c>
      <c r="B17" s="1">
        <v>1</v>
      </c>
      <c r="C17" s="1">
        <v>8</v>
      </c>
      <c r="D17" s="1">
        <f>B17*10^C17</f>
        <v>100000000</v>
      </c>
      <c r="E17" s="4" t="s">
        <v>109</v>
      </c>
      <c r="I17" s="4" t="s">
        <v>124</v>
      </c>
      <c r="J17" s="1">
        <f>B17</f>
        <v>1</v>
      </c>
      <c r="K17" s="1">
        <v>7</v>
      </c>
      <c r="L17" s="1">
        <f>J17*10^K17</f>
        <v>10000000</v>
      </c>
      <c r="M17" s="4" t="s">
        <v>109</v>
      </c>
    </row>
    <row r="18" spans="1:15" x14ac:dyDescent="0.25">
      <c r="A18" s="4" t="s">
        <v>125</v>
      </c>
      <c r="D18" s="1">
        <v>1</v>
      </c>
      <c r="E18" s="4" t="s">
        <v>126</v>
      </c>
      <c r="I18" s="4" t="s">
        <v>125</v>
      </c>
      <c r="L18" s="1">
        <f t="shared" ref="L18:L19" si="0">D18</f>
        <v>1</v>
      </c>
      <c r="M18" s="4" t="s">
        <v>126</v>
      </c>
    </row>
    <row r="19" spans="1:15" x14ac:dyDescent="0.25">
      <c r="A19" s="4" t="s">
        <v>127</v>
      </c>
      <c r="D19" s="1">
        <v>1</v>
      </c>
      <c r="E19" s="4" t="s">
        <v>128</v>
      </c>
      <c r="I19" s="4" t="s">
        <v>127</v>
      </c>
      <c r="L19" s="1">
        <f t="shared" si="0"/>
        <v>1</v>
      </c>
      <c r="M19" s="4" t="s">
        <v>128</v>
      </c>
    </row>
    <row r="21" spans="1:15" ht="15.75" customHeight="1" x14ac:dyDescent="0.25">
      <c r="A21" s="4" t="s">
        <v>129</v>
      </c>
      <c r="I21" s="4" t="s">
        <v>129</v>
      </c>
    </row>
    <row r="22" spans="1:15" ht="15.75" customHeight="1" x14ac:dyDescent="0.25">
      <c r="A22" s="4" t="s">
        <v>124</v>
      </c>
      <c r="B22" s="1">
        <v>1.7</v>
      </c>
      <c r="C22" s="1">
        <v>6</v>
      </c>
      <c r="D22" s="1">
        <f>B22*10^C22</f>
        <v>1700000</v>
      </c>
      <c r="E22" s="4" t="s">
        <v>109</v>
      </c>
      <c r="G22" s="4" t="s">
        <v>126</v>
      </c>
      <c r="I22" s="4" t="s">
        <v>124</v>
      </c>
      <c r="J22" s="1">
        <v>1.7</v>
      </c>
      <c r="K22" s="1">
        <v>6</v>
      </c>
      <c r="L22" s="1">
        <f>J22*10^K22</f>
        <v>1700000</v>
      </c>
      <c r="M22" s="4" t="s">
        <v>109</v>
      </c>
      <c r="O22" s="4" t="s">
        <v>126</v>
      </c>
    </row>
    <row r="23" spans="1:15" ht="15.75" customHeight="1" x14ac:dyDescent="0.25">
      <c r="A23" s="4" t="s">
        <v>125</v>
      </c>
      <c r="D23" s="1">
        <f>(D22/D17)*(D18/D19)</f>
        <v>1.7000000000000001E-2</v>
      </c>
      <c r="E23" s="4" t="s">
        <v>126</v>
      </c>
      <c r="F23" s="1">
        <f>(D17/D22)*(D18/D19)</f>
        <v>58.823529411764703</v>
      </c>
      <c r="G23" s="4" t="s">
        <v>126</v>
      </c>
      <c r="I23" s="4" t="s">
        <v>125</v>
      </c>
      <c r="L23" s="1">
        <f>(L22/L17)*(L18/L19)</f>
        <v>0.17</v>
      </c>
      <c r="M23" s="4" t="s">
        <v>126</v>
      </c>
      <c r="N23" s="1">
        <f>(L17/L22)*(L18/L19)</f>
        <v>5.882352941176471</v>
      </c>
      <c r="O23" s="4" t="s">
        <v>126</v>
      </c>
    </row>
    <row r="24" spans="1:15" ht="15.75" customHeight="1" x14ac:dyDescent="0.25">
      <c r="A24" s="4" t="s">
        <v>127</v>
      </c>
      <c r="D24" s="1">
        <v>1</v>
      </c>
      <c r="E24" s="4" t="s">
        <v>128</v>
      </c>
      <c r="I24" s="4" t="s">
        <v>127</v>
      </c>
      <c r="L24" s="1">
        <v>1</v>
      </c>
      <c r="M24" s="4" t="s">
        <v>128</v>
      </c>
    </row>
    <row r="25" spans="1:15" ht="15.75" customHeight="1" x14ac:dyDescent="0.2"/>
    <row r="26" spans="1:15" ht="15.75" customHeight="1" x14ac:dyDescent="0.25">
      <c r="A26" s="4" t="s">
        <v>130</v>
      </c>
      <c r="D26" s="1">
        <f>D23*36*2</f>
        <v>1.2240000000000002</v>
      </c>
      <c r="E26" s="4" t="s">
        <v>126</v>
      </c>
      <c r="F26" s="1">
        <f>F23*36*2</f>
        <v>4235.2941176470586</v>
      </c>
      <c r="G26" s="4" t="s">
        <v>126</v>
      </c>
      <c r="I26" s="4" t="s">
        <v>130</v>
      </c>
      <c r="L26" s="1">
        <f>L23*36*2</f>
        <v>12.24</v>
      </c>
      <c r="M26" s="4" t="s">
        <v>126</v>
      </c>
      <c r="N26" s="1">
        <f>N23*36*2</f>
        <v>423.52941176470591</v>
      </c>
      <c r="O26" s="4" t="s">
        <v>126</v>
      </c>
    </row>
    <row r="27" spans="1:15" ht="15.75" customHeight="1" x14ac:dyDescent="0.25">
      <c r="D27" s="1">
        <f>D26/1000</f>
        <v>1.2240000000000003E-3</v>
      </c>
      <c r="E27" s="4" t="s">
        <v>131</v>
      </c>
      <c r="F27" s="1">
        <f>F26/1000</f>
        <v>4.2352941176470589</v>
      </c>
      <c r="G27" s="4" t="s">
        <v>131</v>
      </c>
      <c r="L27" s="1">
        <f>L26/1000</f>
        <v>1.2240000000000001E-2</v>
      </c>
      <c r="M27" s="4" t="s">
        <v>131</v>
      </c>
      <c r="N27" s="1">
        <f>N26/1000</f>
        <v>0.42352941176470593</v>
      </c>
      <c r="O27" s="4" t="s">
        <v>131</v>
      </c>
    </row>
    <row r="28" spans="1:15" ht="15.75" customHeight="1" x14ac:dyDescent="0.2"/>
    <row r="29" spans="1:15" ht="15.75" customHeight="1" x14ac:dyDescent="0.2"/>
    <row r="30" spans="1:15" ht="15.75" customHeight="1" x14ac:dyDescent="0.2"/>
    <row r="31" spans="1:15" ht="15.75" customHeight="1" x14ac:dyDescent="0.2"/>
    <row r="32" spans="1:15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4">
    <mergeCell ref="A2:A3"/>
    <mergeCell ref="B2:F2"/>
    <mergeCell ref="G2:H3"/>
    <mergeCell ref="I2:I3"/>
  </mergeCell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Database Tanaman</vt:lpstr>
      <vt:lpstr>Database Pupuk</vt:lpstr>
      <vt:lpstr>Perhitungan Pupuk-Bioch Fix</vt:lpstr>
      <vt:lpstr>Perhitungan Pupuk</vt:lpstr>
      <vt:lpstr>Perhitungan Pestisida</vt:lpstr>
      <vt:lpstr>Perhitungan Pupuk-Bioch</vt:lpstr>
      <vt:lpstr>Kebutuhan bioch</vt:lpstr>
      <vt:lpstr>Anggaran</vt:lpstr>
      <vt:lpstr>Perhitungan Rhizobium</vt:lpstr>
      <vt:lpstr>'Perhitungan Pupuk'!NamaPupuk</vt:lpstr>
      <vt:lpstr>NamaPupuk</vt:lpstr>
      <vt:lpstr>'Perhitungan Pupuk'!NamaTanaman</vt:lpstr>
      <vt:lpstr>NamaTanaman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SAM</cp:lastModifiedBy>
  <dcterms:created xsi:type="dcterms:W3CDTF">2006-09-16T00:00:00Z</dcterms:created>
  <dcterms:modified xsi:type="dcterms:W3CDTF">2023-08-03T07:20:09Z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1057-11.2.0.9937</vt:lpwstr>
  </property>
</Properties>
</file>